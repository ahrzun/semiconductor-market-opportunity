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Raw Data" sheetId="1" state="visible" r:id="rId1"/>
    <sheet xmlns:r="http://schemas.openxmlformats.org/officeDocument/2006/relationships" name="Normalization" sheetId="2" state="visible" r:id="rId2"/>
    <sheet xmlns:r="http://schemas.openxmlformats.org/officeDocument/2006/relationships" name="Scoring Model" sheetId="3" state="visible" r:id="rId3"/>
    <sheet xmlns:r="http://schemas.openxmlformats.org/officeDocument/2006/relationships" name="Sensitivity" sheetId="4" state="visible" r:id="rId4"/>
    <sheet xmlns:r="http://schemas.openxmlformats.org/officeDocument/2006/relationships" name="Ranking" sheetId="5" state="visible" r:id="rId5"/>
    <sheet xmlns:r="http://schemas.openxmlformats.org/officeDocument/2006/relationships" name="Assumptions" sheetId="6" state="visible" r:id="rId6"/>
  </sheets>
  <definedNames>
    <definedName name="weights_base">Assumptions!$C$7:$C$13</definedName>
    <definedName name="weights_growth_weighted">Assumptions!$D$7:$D$13</definedName>
    <definedName name="weights_feasibility_weighted">Assumptions!$E$7:$E$13</definedName>
    <definedName name="weights_fit_weighted">Assumptions!$F$7:$F$13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5">
    <font>
      <name val="Calibri"/>
      <family val="2"/>
      <color theme="1"/>
      <sz val="11"/>
      <scheme val="minor"/>
    </font>
    <font>
      <b val="1"/>
      <sz val="14"/>
    </font>
    <font>
      <i val="1"/>
      <color rgb="00595959"/>
      <sz val="9"/>
    </font>
    <font>
      <b val="1"/>
    </font>
    <font>
      <b val="1"/>
      <color rgb="00FFFFFF"/>
    </font>
  </fonts>
  <fills count="4">
    <fill>
      <patternFill/>
    </fill>
    <fill>
      <patternFill patternType="gray125"/>
    </fill>
    <fill>
      <patternFill patternType="solid">
        <fgColor rgb="001F3864"/>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2" borderId="0" applyAlignment="1" pivotButton="0" quotePrefix="0" xfId="0">
      <alignment horizontal="center" vertical="center" wrapText="1"/>
    </xf>
    <xf numFmtId="165" fontId="0" fillId="0" borderId="0" pivotButton="0" quotePrefix="0" xfId="0"/>
    <xf numFmtId="2" fontId="0" fillId="0" borderId="0" pivotButton="0" quotePrefix="0" xfId="0"/>
    <xf numFmtId="166" fontId="0" fillId="0" borderId="0" pivotButton="0" quotePrefix="0" xfId="0"/>
    <xf numFmtId="4" fontId="0" fillId="0" borderId="0" pivotButton="0" quotePrefix="0" xfId="0"/>
    <xf numFmtId="164"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0" fillId="3" borderId="1" pivotButton="0" quotePrefix="0" xfId="0"/>
    <xf numFmtId="0" fontId="0" fillId="0" borderId="1" pivotButton="0" quotePrefix="0" xfId="0"/>
    <xf numFmtId="0" fontId="0" fillId="0" borderId="0" applyAlignment="1" pivotButton="0" quotePrefix="0" xfId="0">
      <alignment vertical="top" wrapText="1"/>
    </xf>
    <xf numFmtId="9" fontId="0" fillId="3" borderId="1" pivotButton="0" quotePrefix="0" xfId="0"/>
    <xf numFmtId="9" fontId="3" fillId="0" borderId="0" pivotButton="0" quotePrefix="0" xfId="0"/>
    <xf numFmtId="164" fontId="0" fillId="3" borderId="1" pivotButton="0" quotePrefix="0" xfId="0"/>
    <xf numFmtId="1"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8" customWidth="1" min="3" max="3"/>
    <col width="18" customWidth="1" min="4" max="4"/>
    <col width="11" customWidth="1" min="5" max="5"/>
    <col width="30" customWidth="1" min="6" max="6"/>
    <col width="24" customWidth="1" min="7" max="7"/>
    <col width="20" customWidth="1" min="8" max="8"/>
    <col width="17" customWidth="1" min="9" max="9"/>
    <col width="17" customWidth="1" min="10" max="10"/>
    <col width="14" customWidth="1" min="11" max="11"/>
    <col width="19" customWidth="1" min="12" max="12"/>
    <col width="19" customWidth="1" min="13" max="13"/>
  </cols>
  <sheetData>
    <row r="1">
      <c r="A1" s="1" t="inlineStr">
        <is>
          <t>segment_id</t>
        </is>
      </c>
      <c r="B1" s="1" t="inlineStr">
        <is>
          <t>segment_name</t>
        </is>
      </c>
      <c r="C1" s="1" t="inlineStr">
        <is>
          <t>year</t>
        </is>
      </c>
      <c r="D1" s="1" t="inlineStr">
        <is>
          <t>market_size_usd_bn</t>
        </is>
      </c>
      <c r="E1" s="1" t="inlineStr">
        <is>
          <t>cagr_pct</t>
        </is>
      </c>
      <c r="F1" s="1" t="inlineStr">
        <is>
          <t>design_services_addressable_pct</t>
        </is>
      </c>
      <c r="G1" s="1" t="inlineStr">
        <is>
          <t>serviceable_market_usd_bn</t>
        </is>
      </c>
      <c r="H1" s="1" t="inlineStr">
        <is>
          <t>competitive_intensity</t>
        </is>
      </c>
      <c r="I1" s="1" t="inlineStr">
        <is>
          <t>customer_demand</t>
        </is>
      </c>
      <c r="J1" s="1" t="inlineStr">
        <is>
          <t>entry_feasibility</t>
        </is>
      </c>
      <c r="K1" s="1" t="inlineStr">
        <is>
          <t>strategic_fit</t>
        </is>
      </c>
      <c r="L1" s="1" t="inlineStr">
        <is>
          <t>talent_availability</t>
        </is>
      </c>
      <c r="M1" s="1" t="inlineStr">
        <is>
          <t>design_cycle_months</t>
        </is>
      </c>
    </row>
    <row r="2">
      <c r="A2" t="inlineStr">
        <is>
          <t>ANLG</t>
        </is>
      </c>
      <c r="B2" t="inlineStr">
        <is>
          <t>Analog &amp; mixed-signal</t>
        </is>
      </c>
      <c r="C2" t="n">
        <v>2021</v>
      </c>
      <c r="D2" s="2" t="n">
        <v>77.129</v>
      </c>
      <c r="E2" s="3" t="n">
        <v>7.4</v>
      </c>
      <c r="F2" s="4" t="n">
        <v>0.225</v>
      </c>
      <c r="G2" s="5">
        <f>D2*F2</f>
        <v/>
      </c>
      <c r="H2" s="6" t="n">
        <v>58.7</v>
      </c>
      <c r="I2" s="6" t="n">
        <v>72.40000000000001</v>
      </c>
      <c r="J2" s="6" t="n">
        <v>79.59999999999999</v>
      </c>
      <c r="K2" s="6" t="n">
        <v>89.3</v>
      </c>
      <c r="L2" s="6" t="n">
        <v>79.8</v>
      </c>
      <c r="M2" s="6" t="n">
        <v>15</v>
      </c>
    </row>
    <row r="3">
      <c r="A3" t="inlineStr">
        <is>
          <t>ANLG</t>
        </is>
      </c>
      <c r="B3" t="inlineStr">
        <is>
          <t>Analog &amp; mixed-signal</t>
        </is>
      </c>
      <c r="C3" t="n">
        <v>2022</v>
      </c>
      <c r="D3" s="2" t="n">
        <v>80.517</v>
      </c>
      <c r="E3" s="3" t="n">
        <v>7.22</v>
      </c>
      <c r="F3" s="4" t="n">
        <v>0.2283</v>
      </c>
      <c r="G3" s="5">
        <f>D3*F3</f>
        <v/>
      </c>
      <c r="H3" s="6" t="n">
        <v>59.3</v>
      </c>
      <c r="I3" s="6" t="n">
        <v>73.8</v>
      </c>
      <c r="J3" s="6" t="n">
        <v>79.8</v>
      </c>
      <c r="K3" s="6" t="n">
        <v>88.40000000000001</v>
      </c>
      <c r="L3" s="6" t="n">
        <v>80.09999999999999</v>
      </c>
      <c r="M3" s="6" t="n">
        <v>15.2</v>
      </c>
    </row>
    <row r="4">
      <c r="A4" t="inlineStr">
        <is>
          <t>ANLG</t>
        </is>
      </c>
      <c r="B4" t="inlineStr">
        <is>
          <t>Analog &amp; mixed-signal</t>
        </is>
      </c>
      <c r="C4" t="n">
        <v>2023</v>
      </c>
      <c r="D4" s="2" t="n">
        <v>81.97799999999999</v>
      </c>
      <c r="E4" s="3" t="n">
        <v>7.04</v>
      </c>
      <c r="F4" s="4" t="n">
        <v>0.2317</v>
      </c>
      <c r="G4" s="5">
        <f>D4*F4</f>
        <v/>
      </c>
      <c r="H4" s="6" t="n">
        <v>58.1</v>
      </c>
      <c r="I4" s="6" t="n">
        <v>76.09999999999999</v>
      </c>
      <c r="J4" s="6" t="n">
        <v>78.3</v>
      </c>
      <c r="K4" s="6" t="n">
        <v>88.3</v>
      </c>
      <c r="L4" s="6" t="n">
        <v>80.3</v>
      </c>
      <c r="M4" s="6" t="n">
        <v>15.4</v>
      </c>
    </row>
    <row r="5">
      <c r="A5" t="inlineStr">
        <is>
          <t>ANLG</t>
        </is>
      </c>
      <c r="B5" t="inlineStr">
        <is>
          <t>Analog &amp; mixed-signal</t>
        </is>
      </c>
      <c r="C5" t="n">
        <v>2024</v>
      </c>
      <c r="D5" s="2" t="n">
        <v>91.34999999999999</v>
      </c>
      <c r="E5" s="3" t="n">
        <v>6.87</v>
      </c>
      <c r="F5" s="4" t="n">
        <v>0.235</v>
      </c>
      <c r="G5" s="5">
        <f>D5*F5</f>
        <v/>
      </c>
      <c r="H5" s="6" t="n">
        <v>60.7</v>
      </c>
      <c r="I5" s="6" t="n">
        <v>75.90000000000001</v>
      </c>
      <c r="J5" s="6" t="n">
        <v>79.09999999999999</v>
      </c>
      <c r="K5" s="6" t="n">
        <v>89</v>
      </c>
      <c r="L5" s="6" t="n">
        <v>82.5</v>
      </c>
      <c r="M5" s="6" t="n">
        <v>15.7</v>
      </c>
    </row>
    <row r="6">
      <c r="A6" t="inlineStr">
        <is>
          <t>ANLG</t>
        </is>
      </c>
      <c r="B6" t="inlineStr">
        <is>
          <t>Analog &amp; mixed-signal</t>
        </is>
      </c>
      <c r="C6" t="n">
        <v>2025</v>
      </c>
      <c r="D6" s="2" t="n">
        <v>100.909</v>
      </c>
      <c r="E6" s="3" t="n">
        <v>6.69</v>
      </c>
      <c r="F6" s="4" t="n">
        <v>0.2383</v>
      </c>
      <c r="G6" s="5">
        <f>D6*F6</f>
        <v/>
      </c>
      <c r="H6" s="6" t="n">
        <v>60.1</v>
      </c>
      <c r="I6" s="6" t="n">
        <v>77.7</v>
      </c>
      <c r="J6" s="6" t="n">
        <v>81.3</v>
      </c>
      <c r="K6" s="6" t="n">
        <v>89.3</v>
      </c>
      <c r="L6" s="6" t="n">
        <v>83.90000000000001</v>
      </c>
      <c r="M6" s="6" t="n">
        <v>15.9</v>
      </c>
    </row>
    <row r="7">
      <c r="A7" t="inlineStr">
        <is>
          <t>ANLG</t>
        </is>
      </c>
      <c r="B7" t="inlineStr">
        <is>
          <t>Analog &amp; mixed-signal</t>
        </is>
      </c>
      <c r="C7" t="n">
        <v>2026</v>
      </c>
      <c r="D7" s="2" t="n">
        <v>105.771</v>
      </c>
      <c r="E7" s="3" t="n">
        <v>6.51</v>
      </c>
      <c r="F7" s="4" t="n">
        <v>0.2417</v>
      </c>
      <c r="G7" s="5">
        <f>D7*F7</f>
        <v/>
      </c>
      <c r="H7" s="6" t="n">
        <v>60.4</v>
      </c>
      <c r="I7" s="6" t="n">
        <v>78.59999999999999</v>
      </c>
      <c r="J7" s="6" t="n">
        <v>81.5</v>
      </c>
      <c r="K7" s="6" t="n">
        <v>89.7</v>
      </c>
      <c r="L7" s="6" t="n">
        <v>81.90000000000001</v>
      </c>
      <c r="M7" s="6" t="n">
        <v>16.1</v>
      </c>
    </row>
    <row r="8">
      <c r="A8" t="inlineStr">
        <is>
          <t>ANLG</t>
        </is>
      </c>
      <c r="B8" t="inlineStr">
        <is>
          <t>Analog &amp; mixed-signal</t>
        </is>
      </c>
      <c r="C8" t="n">
        <v>2027</v>
      </c>
      <c r="D8" s="2" t="n">
        <v>110.091</v>
      </c>
      <c r="E8" s="3" t="n">
        <v>6.33</v>
      </c>
      <c r="F8" s="4" t="n">
        <v>0.245</v>
      </c>
      <c r="G8" s="5">
        <f>D8*F8</f>
        <v/>
      </c>
      <c r="H8" s="6" t="n">
        <v>61.1</v>
      </c>
      <c r="I8" s="6" t="n">
        <v>79.59999999999999</v>
      </c>
      <c r="J8" s="6" t="n">
        <v>81.3</v>
      </c>
      <c r="K8" s="6" t="n">
        <v>91.09999999999999</v>
      </c>
      <c r="L8" s="6" t="n">
        <v>85.2</v>
      </c>
      <c r="M8" s="6" t="n">
        <v>16.3</v>
      </c>
    </row>
    <row r="9">
      <c r="A9" t="inlineStr">
        <is>
          <t>ANLG</t>
        </is>
      </c>
      <c r="B9" t="inlineStr">
        <is>
          <t>Analog &amp; mixed-signal</t>
        </is>
      </c>
      <c r="C9" t="n">
        <v>2028</v>
      </c>
      <c r="D9" s="2" t="n">
        <v>120.488</v>
      </c>
      <c r="E9" s="3" t="n">
        <v>6.16</v>
      </c>
      <c r="F9" s="4" t="n">
        <v>0.2483</v>
      </c>
      <c r="G9" s="5">
        <f>D9*F9</f>
        <v/>
      </c>
      <c r="H9" s="6" t="n">
        <v>62.2</v>
      </c>
      <c r="I9" s="6" t="n">
        <v>78.8</v>
      </c>
      <c r="J9" s="6" t="n">
        <v>81</v>
      </c>
      <c r="K9" s="6" t="n">
        <v>90.59999999999999</v>
      </c>
      <c r="L9" s="6" t="n">
        <v>83.8</v>
      </c>
      <c r="M9" s="6" t="n">
        <v>16.6</v>
      </c>
    </row>
    <row r="10">
      <c r="A10" t="inlineStr">
        <is>
          <t>ANLG</t>
        </is>
      </c>
      <c r="B10" t="inlineStr">
        <is>
          <t>Analog &amp; mixed-signal</t>
        </is>
      </c>
      <c r="C10" t="n">
        <v>2029</v>
      </c>
      <c r="D10" s="2" t="n">
        <v>128.095</v>
      </c>
      <c r="E10" s="3" t="n">
        <v>5.98</v>
      </c>
      <c r="F10" s="4" t="n">
        <v>0.2517</v>
      </c>
      <c r="G10" s="5">
        <f>D10*F10</f>
        <v/>
      </c>
      <c r="H10" s="6" t="n">
        <v>62.2</v>
      </c>
      <c r="I10" s="6" t="n">
        <v>78.3</v>
      </c>
      <c r="J10" s="6" t="n">
        <v>81.2</v>
      </c>
      <c r="K10" s="6" t="n">
        <v>91.09999999999999</v>
      </c>
      <c r="L10" s="6" t="n">
        <v>85</v>
      </c>
      <c r="M10" s="6" t="n">
        <v>16.8</v>
      </c>
    </row>
    <row r="11">
      <c r="A11" t="inlineStr">
        <is>
          <t>ANLG</t>
        </is>
      </c>
      <c r="B11" t="inlineStr">
        <is>
          <t>Analog &amp; mixed-signal</t>
        </is>
      </c>
      <c r="C11" t="n">
        <v>2030</v>
      </c>
      <c r="D11" s="2" t="n">
        <v>132.073</v>
      </c>
      <c r="E11" s="3" t="n">
        <v>5.8</v>
      </c>
      <c r="F11" s="4" t="n">
        <v>0.255</v>
      </c>
      <c r="G11" s="5">
        <f>D11*F11</f>
        <v/>
      </c>
      <c r="H11" s="6" t="n">
        <v>63.3</v>
      </c>
      <c r="I11" s="6" t="n">
        <v>79.8</v>
      </c>
      <c r="J11" s="6" t="n">
        <v>82.7</v>
      </c>
      <c r="K11" s="6" t="n">
        <v>90.3</v>
      </c>
      <c r="L11" s="6" t="n">
        <v>85.09999999999999</v>
      </c>
      <c r="M11" s="6" t="n">
        <v>17</v>
      </c>
    </row>
    <row r="12">
      <c r="A12" t="inlineStr">
        <is>
          <t>AUTO</t>
        </is>
      </c>
      <c r="B12" t="inlineStr">
        <is>
          <t>Automotive &amp; ADAS silicon</t>
        </is>
      </c>
      <c r="C12" t="n">
        <v>2021</v>
      </c>
      <c r="D12" s="2" t="n">
        <v>62.619</v>
      </c>
      <c r="E12" s="3" t="n">
        <v>10.8</v>
      </c>
      <c r="F12" s="4" t="n">
        <v>0.205</v>
      </c>
      <c r="G12" s="5">
        <f>D12*F12</f>
        <v/>
      </c>
      <c r="H12" s="6" t="n">
        <v>55.4</v>
      </c>
      <c r="I12" s="6" t="n">
        <v>82.7</v>
      </c>
      <c r="J12" s="6" t="n">
        <v>70.2</v>
      </c>
      <c r="K12" s="6" t="n">
        <v>86.5</v>
      </c>
      <c r="L12" s="6" t="n">
        <v>75.2</v>
      </c>
      <c r="M12" s="6" t="n">
        <v>17</v>
      </c>
    </row>
    <row r="13">
      <c r="A13" t="inlineStr">
        <is>
          <t>AUTO</t>
        </is>
      </c>
      <c r="B13" t="inlineStr">
        <is>
          <t>Automotive &amp; ADAS silicon</t>
        </is>
      </c>
      <c r="C13" t="n">
        <v>2022</v>
      </c>
      <c r="D13" s="2" t="n">
        <v>68.238</v>
      </c>
      <c r="E13" s="3" t="n">
        <v>10.51</v>
      </c>
      <c r="F13" s="4" t="n">
        <v>0.2094</v>
      </c>
      <c r="G13" s="5">
        <f>D13*F13</f>
        <v/>
      </c>
      <c r="H13" s="6" t="n">
        <v>56.6</v>
      </c>
      <c r="I13" s="6" t="n">
        <v>83.5</v>
      </c>
      <c r="J13" s="6" t="n">
        <v>68.8</v>
      </c>
      <c r="K13" s="6" t="n">
        <v>84.7</v>
      </c>
      <c r="L13" s="6" t="n">
        <v>74.8</v>
      </c>
      <c r="M13" s="6" t="n">
        <v>17.3</v>
      </c>
    </row>
    <row r="14">
      <c r="A14" t="inlineStr">
        <is>
          <t>AUTO</t>
        </is>
      </c>
      <c r="B14" t="inlineStr">
        <is>
          <t>Automotive &amp; ADAS silicon</t>
        </is>
      </c>
      <c r="C14" t="n">
        <v>2023</v>
      </c>
      <c r="D14" s="2" t="n">
        <v>70.93600000000001</v>
      </c>
      <c r="E14" s="3" t="n">
        <v>10.22</v>
      </c>
      <c r="F14" s="4" t="n">
        <v>0.2139</v>
      </c>
      <c r="G14" s="5">
        <f>D14*F14</f>
        <v/>
      </c>
      <c r="H14" s="6" t="n">
        <v>59.5</v>
      </c>
      <c r="I14" s="6" t="n">
        <v>84.09999999999999</v>
      </c>
      <c r="J14" s="6" t="n">
        <v>70.2</v>
      </c>
      <c r="K14" s="6" t="n">
        <v>85.3</v>
      </c>
      <c r="L14" s="6" t="n">
        <v>75.3</v>
      </c>
      <c r="M14" s="6" t="n">
        <v>17.6</v>
      </c>
    </row>
    <row r="15">
      <c r="A15" t="inlineStr">
        <is>
          <t>AUTO</t>
        </is>
      </c>
      <c r="B15" t="inlineStr">
        <is>
          <t>Automotive &amp; ADAS silicon</t>
        </is>
      </c>
      <c r="C15" t="n">
        <v>2024</v>
      </c>
      <c r="D15" s="2" t="n">
        <v>81.8</v>
      </c>
      <c r="E15" s="3" t="n">
        <v>9.93</v>
      </c>
      <c r="F15" s="4" t="n">
        <v>0.2183</v>
      </c>
      <c r="G15" s="5">
        <f>D15*F15</f>
        <v/>
      </c>
      <c r="H15" s="6" t="n">
        <v>60</v>
      </c>
      <c r="I15" s="6" t="n">
        <v>84.09999999999999</v>
      </c>
      <c r="J15" s="6" t="n">
        <v>68.3</v>
      </c>
      <c r="K15" s="6" t="n">
        <v>87.5</v>
      </c>
      <c r="L15" s="6" t="n">
        <v>77</v>
      </c>
      <c r="M15" s="6" t="n">
        <v>17.8</v>
      </c>
    </row>
    <row r="16">
      <c r="A16" t="inlineStr">
        <is>
          <t>AUTO</t>
        </is>
      </c>
      <c r="B16" t="inlineStr">
        <is>
          <t>Automotive &amp; ADAS silicon</t>
        </is>
      </c>
      <c r="C16" t="n">
        <v>2025</v>
      </c>
      <c r="D16" s="2" t="n">
        <v>91.976</v>
      </c>
      <c r="E16" s="3" t="n">
        <v>9.640000000000001</v>
      </c>
      <c r="F16" s="4" t="n">
        <v>0.2228</v>
      </c>
      <c r="G16" s="5">
        <f>D16*F16</f>
        <v/>
      </c>
      <c r="H16" s="6" t="n">
        <v>61.9</v>
      </c>
      <c r="I16" s="6" t="n">
        <v>86.7</v>
      </c>
      <c r="J16" s="6" t="n">
        <v>69.40000000000001</v>
      </c>
      <c r="K16" s="6" t="n">
        <v>86.5</v>
      </c>
      <c r="L16" s="6" t="n">
        <v>78.7</v>
      </c>
      <c r="M16" s="6" t="n">
        <v>18.1</v>
      </c>
    </row>
    <row r="17">
      <c r="A17" t="inlineStr">
        <is>
          <t>AUTO</t>
        </is>
      </c>
      <c r="B17" t="inlineStr">
        <is>
          <t>Automotive &amp; ADAS silicon</t>
        </is>
      </c>
      <c r="C17" t="n">
        <v>2026</v>
      </c>
      <c r="D17" s="2" t="n">
        <v>100.283</v>
      </c>
      <c r="E17" s="3" t="n">
        <v>9.359999999999999</v>
      </c>
      <c r="F17" s="4" t="n">
        <v>0.2272</v>
      </c>
      <c r="G17" s="5">
        <f>D17*F17</f>
        <v/>
      </c>
      <c r="H17" s="6" t="n">
        <v>62.3</v>
      </c>
      <c r="I17" s="6" t="n">
        <v>88.2</v>
      </c>
      <c r="J17" s="6" t="n">
        <v>71.7</v>
      </c>
      <c r="K17" s="6" t="n">
        <v>90.09999999999999</v>
      </c>
      <c r="L17" s="6" t="n">
        <v>79.90000000000001</v>
      </c>
      <c r="M17" s="6" t="n">
        <v>18.4</v>
      </c>
    </row>
    <row r="18">
      <c r="A18" t="inlineStr">
        <is>
          <t>AUTO</t>
        </is>
      </c>
      <c r="B18" t="inlineStr">
        <is>
          <t>Automotive &amp; ADAS silicon</t>
        </is>
      </c>
      <c r="C18" t="n">
        <v>2027</v>
      </c>
      <c r="D18" s="2" t="n">
        <v>106.416</v>
      </c>
      <c r="E18" s="3" t="n">
        <v>9.07</v>
      </c>
      <c r="F18" s="4" t="n">
        <v>0.2317</v>
      </c>
      <c r="G18" s="5">
        <f>D18*F18</f>
        <v/>
      </c>
      <c r="H18" s="6" t="n">
        <v>64.3</v>
      </c>
      <c r="I18" s="6" t="n">
        <v>87.7</v>
      </c>
      <c r="J18" s="6" t="n">
        <v>70.7</v>
      </c>
      <c r="K18" s="6" t="n">
        <v>88</v>
      </c>
      <c r="L18" s="6" t="n">
        <v>78.8</v>
      </c>
      <c r="M18" s="6" t="n">
        <v>18.7</v>
      </c>
    </row>
    <row r="19">
      <c r="A19" t="inlineStr">
        <is>
          <t>AUTO</t>
        </is>
      </c>
      <c r="B19" t="inlineStr">
        <is>
          <t>Automotive &amp; ADAS silicon</t>
        </is>
      </c>
      <c r="C19" t="n">
        <v>2028</v>
      </c>
      <c r="D19" s="2" t="n">
        <v>119.892</v>
      </c>
      <c r="E19" s="3" t="n">
        <v>8.779999999999999</v>
      </c>
      <c r="F19" s="4" t="n">
        <v>0.2361</v>
      </c>
      <c r="G19" s="5">
        <f>D19*F19</f>
        <v/>
      </c>
      <c r="H19" s="6" t="n">
        <v>64.40000000000001</v>
      </c>
      <c r="I19" s="6" t="n">
        <v>88.40000000000001</v>
      </c>
      <c r="J19" s="6" t="n">
        <v>71.7</v>
      </c>
      <c r="K19" s="6" t="n">
        <v>87.2</v>
      </c>
      <c r="L19" s="6" t="n">
        <v>79.2</v>
      </c>
      <c r="M19" s="6" t="n">
        <v>18.9</v>
      </c>
    </row>
    <row r="20">
      <c r="A20" t="inlineStr">
        <is>
          <t>AUTO</t>
        </is>
      </c>
      <c r="B20" t="inlineStr">
        <is>
          <t>Automotive &amp; ADAS silicon</t>
        </is>
      </c>
      <c r="C20" t="n">
        <v>2029</v>
      </c>
      <c r="D20" s="2" t="n">
        <v>129.19</v>
      </c>
      <c r="E20" s="3" t="n">
        <v>8.49</v>
      </c>
      <c r="F20" s="4" t="n">
        <v>0.2406</v>
      </c>
      <c r="G20" s="5">
        <f>D20*F20</f>
        <v/>
      </c>
      <c r="H20" s="6" t="n">
        <v>64.2</v>
      </c>
      <c r="I20" s="6" t="n">
        <v>90.40000000000001</v>
      </c>
      <c r="J20" s="6" t="n">
        <v>72.3</v>
      </c>
      <c r="K20" s="6" t="n">
        <v>88.5</v>
      </c>
      <c r="L20" s="6" t="n">
        <v>80.7</v>
      </c>
      <c r="M20" s="6" t="n">
        <v>19.2</v>
      </c>
    </row>
    <row r="21">
      <c r="A21" t="inlineStr">
        <is>
          <t>AUTO</t>
        </is>
      </c>
      <c r="B21" t="inlineStr">
        <is>
          <t>Automotive &amp; ADAS silicon</t>
        </is>
      </c>
      <c r="C21" t="n">
        <v>2030</v>
      </c>
      <c r="D21" s="2" t="n">
        <v>140.451</v>
      </c>
      <c r="E21" s="3" t="n">
        <v>8.199999999999999</v>
      </c>
      <c r="F21" s="4" t="n">
        <v>0.245</v>
      </c>
      <c r="G21" s="5">
        <f>D21*F21</f>
        <v/>
      </c>
      <c r="H21" s="6" t="n">
        <v>67.40000000000001</v>
      </c>
      <c r="I21" s="6" t="n">
        <v>89.8</v>
      </c>
      <c r="J21" s="6" t="n">
        <v>70</v>
      </c>
      <c r="K21" s="6" t="n">
        <v>90.59999999999999</v>
      </c>
      <c r="L21" s="6" t="n">
        <v>79.2</v>
      </c>
      <c r="M21" s="6" t="n">
        <v>19.5</v>
      </c>
    </row>
    <row r="22">
      <c r="A22" t="inlineStr">
        <is>
          <t>HPC</t>
        </is>
      </c>
      <c r="B22" t="inlineStr">
        <is>
          <t>HPC / AI accelerator ASICs</t>
        </is>
      </c>
      <c r="C22" t="n">
        <v>2021</v>
      </c>
      <c r="D22" s="2" t="n">
        <v>76.675</v>
      </c>
      <c r="E22" s="3" t="n">
        <v>27</v>
      </c>
      <c r="F22" s="4" t="n">
        <v>0.105</v>
      </c>
      <c r="G22" s="5">
        <f>D22*F22</f>
        <v/>
      </c>
      <c r="H22" s="6" t="n">
        <v>80.3</v>
      </c>
      <c r="I22" s="6" t="n">
        <v>87.5</v>
      </c>
      <c r="J22" s="6" t="n">
        <v>48.7</v>
      </c>
      <c r="K22" s="6" t="n">
        <v>67.90000000000001</v>
      </c>
      <c r="L22" s="6" t="n">
        <v>48.2</v>
      </c>
      <c r="M22" s="6" t="n">
        <v>22</v>
      </c>
    </row>
    <row r="23">
      <c r="A23" t="inlineStr">
        <is>
          <t>HPC</t>
        </is>
      </c>
      <c r="B23" t="inlineStr">
        <is>
          <t>HPC / AI accelerator ASICs</t>
        </is>
      </c>
      <c r="C23" t="n">
        <v>2022</v>
      </c>
      <c r="D23" s="2" t="n">
        <v>93.788</v>
      </c>
      <c r="E23" s="3" t="n">
        <v>25.78</v>
      </c>
      <c r="F23" s="4" t="n">
        <v>0.1083</v>
      </c>
      <c r="G23" s="5">
        <f>D23*F23</f>
        <v/>
      </c>
      <c r="H23" s="6" t="n">
        <v>81.2</v>
      </c>
      <c r="I23" s="6" t="n">
        <v>91</v>
      </c>
      <c r="J23" s="6" t="n">
        <v>45.9</v>
      </c>
      <c r="K23" s="6" t="n">
        <v>67.5</v>
      </c>
      <c r="L23" s="6" t="n">
        <v>51.3</v>
      </c>
      <c r="M23" s="6" t="n">
        <v>22.3</v>
      </c>
    </row>
    <row r="24">
      <c r="A24" t="inlineStr">
        <is>
          <t>HPC</t>
        </is>
      </c>
      <c r="B24" t="inlineStr">
        <is>
          <t>HPC / AI accelerator ASICs</t>
        </is>
      </c>
      <c r="C24" t="n">
        <v>2023</v>
      </c>
      <c r="D24" s="2" t="n">
        <v>105.821</v>
      </c>
      <c r="E24" s="3" t="n">
        <v>24.56</v>
      </c>
      <c r="F24" s="4" t="n">
        <v>0.1117</v>
      </c>
      <c r="G24" s="5">
        <f>D24*F24</f>
        <v/>
      </c>
      <c r="H24" s="6" t="n">
        <v>83.3</v>
      </c>
      <c r="I24" s="6" t="n">
        <v>92</v>
      </c>
      <c r="J24" s="6" t="n">
        <v>47</v>
      </c>
      <c r="K24" s="6" t="n">
        <v>70.3</v>
      </c>
      <c r="L24" s="6" t="n">
        <v>51.6</v>
      </c>
      <c r="M24" s="6" t="n">
        <v>22.7</v>
      </c>
    </row>
    <row r="25">
      <c r="A25" t="inlineStr">
        <is>
          <t>HPC</t>
        </is>
      </c>
      <c r="B25" t="inlineStr">
        <is>
          <t>HPC / AI accelerator ASICs</t>
        </is>
      </c>
      <c r="C25" t="n">
        <v>2024</v>
      </c>
      <c r="D25" s="2" t="n">
        <v>146.712</v>
      </c>
      <c r="E25" s="3" t="n">
        <v>23.33</v>
      </c>
      <c r="F25" s="4" t="n">
        <v>0.115</v>
      </c>
      <c r="G25" s="5">
        <f>D25*F25</f>
        <v/>
      </c>
      <c r="H25" s="6" t="n">
        <v>83.5</v>
      </c>
      <c r="I25" s="6" t="n">
        <v>90.90000000000001</v>
      </c>
      <c r="J25" s="6" t="n">
        <v>47.2</v>
      </c>
      <c r="K25" s="6" t="n">
        <v>71.40000000000001</v>
      </c>
      <c r="L25" s="6" t="n">
        <v>51.8</v>
      </c>
      <c r="M25" s="6" t="n">
        <v>23</v>
      </c>
    </row>
    <row r="26">
      <c r="A26" t="inlineStr">
        <is>
          <t>HPC</t>
        </is>
      </c>
      <c r="B26" t="inlineStr">
        <is>
          <t>HPC / AI accelerator ASICs</t>
        </is>
      </c>
      <c r="C26" t="n">
        <v>2025</v>
      </c>
      <c r="D26" s="2" t="n">
        <v>183.678</v>
      </c>
      <c r="E26" s="3" t="n">
        <v>22.11</v>
      </c>
      <c r="F26" s="4" t="n">
        <v>0.1183</v>
      </c>
      <c r="G26" s="5">
        <f>D26*F26</f>
        <v/>
      </c>
      <c r="H26" s="6" t="n">
        <v>86.5</v>
      </c>
      <c r="I26" s="6" t="n">
        <v>92.3</v>
      </c>
      <c r="J26" s="6" t="n">
        <v>45.2</v>
      </c>
      <c r="K26" s="6" t="n">
        <v>73.59999999999999</v>
      </c>
      <c r="L26" s="6" t="n">
        <v>55.8</v>
      </c>
      <c r="M26" s="6" t="n">
        <v>23.3</v>
      </c>
    </row>
    <row r="27">
      <c r="A27" t="inlineStr">
        <is>
          <t>HPC</t>
        </is>
      </c>
      <c r="B27" t="inlineStr">
        <is>
          <t>HPC / AI accelerator ASICs</t>
        </is>
      </c>
      <c r="C27" t="n">
        <v>2026</v>
      </c>
      <c r="D27" s="2" t="n">
        <v>220.651</v>
      </c>
      <c r="E27" s="3" t="n">
        <v>20.89</v>
      </c>
      <c r="F27" s="4" t="n">
        <v>0.1217</v>
      </c>
      <c r="G27" s="5">
        <f>D27*F27</f>
        <v/>
      </c>
      <c r="H27" s="6" t="n">
        <v>86.3</v>
      </c>
      <c r="I27" s="6" t="n">
        <v>91.59999999999999</v>
      </c>
      <c r="J27" s="6" t="n">
        <v>45.8</v>
      </c>
      <c r="K27" s="6" t="n">
        <v>72.7</v>
      </c>
      <c r="L27" s="6" t="n">
        <v>56.5</v>
      </c>
      <c r="M27" s="6" t="n">
        <v>23.7</v>
      </c>
    </row>
    <row r="28">
      <c r="A28" t="inlineStr">
        <is>
          <t>HPC</t>
        </is>
      </c>
      <c r="B28" t="inlineStr">
        <is>
          <t>HPC / AI accelerator ASICs</t>
        </is>
      </c>
      <c r="C28" t="n">
        <v>2027</v>
      </c>
      <c r="D28" s="2" t="n">
        <v>257.293</v>
      </c>
      <c r="E28" s="3" t="n">
        <v>19.67</v>
      </c>
      <c r="F28" s="4" t="n">
        <v>0.125</v>
      </c>
      <c r="G28" s="5">
        <f>D28*F28</f>
        <v/>
      </c>
      <c r="H28" s="6" t="n">
        <v>88.2</v>
      </c>
      <c r="I28" s="6" t="n">
        <v>94.2</v>
      </c>
      <c r="J28" s="6" t="n">
        <v>44</v>
      </c>
      <c r="K28" s="6" t="n">
        <v>75.09999999999999</v>
      </c>
      <c r="L28" s="6" t="n">
        <v>56.1</v>
      </c>
      <c r="M28" s="6" t="n">
        <v>24</v>
      </c>
    </row>
    <row r="29">
      <c r="A29" t="inlineStr">
        <is>
          <t>HPC</t>
        </is>
      </c>
      <c r="B29" t="inlineStr">
        <is>
          <t>HPC / AI accelerator ASICs</t>
        </is>
      </c>
      <c r="C29" t="n">
        <v>2028</v>
      </c>
      <c r="D29" s="2" t="n">
        <v>316.47</v>
      </c>
      <c r="E29" s="3" t="n">
        <v>18.44</v>
      </c>
      <c r="F29" s="4" t="n">
        <v>0.1283</v>
      </c>
      <c r="G29" s="5">
        <f>D29*F29</f>
        <v/>
      </c>
      <c r="H29" s="6" t="n">
        <v>90.40000000000001</v>
      </c>
      <c r="I29" s="6" t="n">
        <v>94.40000000000001</v>
      </c>
      <c r="J29" s="6" t="n">
        <v>43.6</v>
      </c>
      <c r="K29" s="6" t="n">
        <v>74.3</v>
      </c>
      <c r="L29" s="6" t="n">
        <v>57.4</v>
      </c>
      <c r="M29" s="6" t="n">
        <v>24.3</v>
      </c>
    </row>
    <row r="30">
      <c r="A30" t="inlineStr">
        <is>
          <t>HPC</t>
        </is>
      </c>
      <c r="B30" t="inlineStr">
        <is>
          <t>HPC / AI accelerator ASICs</t>
        </is>
      </c>
      <c r="C30" t="n">
        <v>2029</v>
      </c>
      <c r="D30" s="2" t="n">
        <v>380.359</v>
      </c>
      <c r="E30" s="3" t="n">
        <v>17.22</v>
      </c>
      <c r="F30" s="4" t="n">
        <v>0.1317</v>
      </c>
      <c r="G30" s="5">
        <f>D30*F30</f>
        <v/>
      </c>
      <c r="H30" s="6" t="n">
        <v>90.2</v>
      </c>
      <c r="I30" s="6" t="n">
        <v>94.40000000000001</v>
      </c>
      <c r="J30" s="6" t="n">
        <v>41</v>
      </c>
      <c r="K30" s="6" t="n">
        <v>73.3</v>
      </c>
      <c r="L30" s="6" t="n">
        <v>58.7</v>
      </c>
      <c r="M30" s="6" t="n">
        <v>24.7</v>
      </c>
    </row>
    <row r="31">
      <c r="A31" t="inlineStr">
        <is>
          <t>HPC</t>
        </is>
      </c>
      <c r="B31" t="inlineStr">
        <is>
          <t>HPC / AI accelerator ASICs</t>
        </is>
      </c>
      <c r="C31" t="n">
        <v>2030</v>
      </c>
      <c r="D31" s="2" t="n">
        <v>438.08</v>
      </c>
      <c r="E31" s="3" t="n">
        <v>16</v>
      </c>
      <c r="F31" s="4" t="n">
        <v>0.135</v>
      </c>
      <c r="G31" s="5">
        <f>D31*F31</f>
        <v/>
      </c>
      <c r="H31" s="6" t="n">
        <v>92.3</v>
      </c>
      <c r="I31" s="6" t="n">
        <v>95.8</v>
      </c>
      <c r="J31" s="6" t="n">
        <v>40.6</v>
      </c>
      <c r="K31" s="6" t="n">
        <v>76.09999999999999</v>
      </c>
      <c r="L31" s="6" t="n">
        <v>58.6</v>
      </c>
      <c r="M31" s="6" t="n">
        <v>25</v>
      </c>
    </row>
    <row r="32">
      <c r="A32" t="inlineStr">
        <is>
          <t>MEM</t>
        </is>
      </c>
      <c r="B32" t="inlineStr">
        <is>
          <t>Memory (DRAM / NAND)</t>
        </is>
      </c>
      <c r="C32" t="n">
        <v>2021</v>
      </c>
      <c r="D32" s="2" t="n">
        <v>130.927</v>
      </c>
      <c r="E32" s="3" t="n">
        <v>11</v>
      </c>
      <c r="F32" s="4" t="n">
        <v>0.035</v>
      </c>
      <c r="G32" s="5">
        <f>D32*F32</f>
        <v/>
      </c>
      <c r="H32" s="6" t="n">
        <v>75.5</v>
      </c>
      <c r="I32" s="6" t="n">
        <v>52.5</v>
      </c>
      <c r="J32" s="6" t="n">
        <v>23.6</v>
      </c>
      <c r="K32" s="6" t="n">
        <v>30.6</v>
      </c>
      <c r="L32" s="6" t="n">
        <v>42.1</v>
      </c>
      <c r="M32" s="6" t="n">
        <v>28</v>
      </c>
    </row>
    <row r="33">
      <c r="A33" t="inlineStr">
        <is>
          <t>MEM</t>
        </is>
      </c>
      <c r="B33" t="inlineStr">
        <is>
          <t>Memory (DRAM / NAND)</t>
        </is>
      </c>
      <c r="C33" t="n">
        <v>2022</v>
      </c>
      <c r="D33" s="2" t="n">
        <v>139.264</v>
      </c>
      <c r="E33" s="3" t="n">
        <v>10.56</v>
      </c>
      <c r="F33" s="4" t="n">
        <v>0.0361</v>
      </c>
      <c r="G33" s="5">
        <f>D33*F33</f>
        <v/>
      </c>
      <c r="H33" s="6" t="n">
        <v>78.3</v>
      </c>
      <c r="I33" s="6" t="n">
        <v>52</v>
      </c>
      <c r="J33" s="6" t="n">
        <v>26.1</v>
      </c>
      <c r="K33" s="6" t="n">
        <v>30.9</v>
      </c>
      <c r="L33" s="6" t="n">
        <v>43.4</v>
      </c>
      <c r="M33" s="6" t="n">
        <v>28.3</v>
      </c>
    </row>
    <row r="34">
      <c r="A34" t="inlineStr">
        <is>
          <t>MEM</t>
        </is>
      </c>
      <c r="B34" t="inlineStr">
        <is>
          <t>Memory (DRAM / NAND)</t>
        </is>
      </c>
      <c r="C34" t="n">
        <v>2023</v>
      </c>
      <c r="D34" s="2" t="n">
        <v>130.541</v>
      </c>
      <c r="E34" s="3" t="n">
        <v>10.11</v>
      </c>
      <c r="F34" s="4" t="n">
        <v>0.0372</v>
      </c>
      <c r="G34" s="5">
        <f>D34*F34</f>
        <v/>
      </c>
      <c r="H34" s="6" t="n">
        <v>76.5</v>
      </c>
      <c r="I34" s="6" t="n">
        <v>55.2</v>
      </c>
      <c r="J34" s="6" t="n">
        <v>23.7</v>
      </c>
      <c r="K34" s="6" t="n">
        <v>32.6</v>
      </c>
      <c r="L34" s="6" t="n">
        <v>43.5</v>
      </c>
      <c r="M34" s="6" t="n">
        <v>28.7</v>
      </c>
    </row>
    <row r="35">
      <c r="A35" t="inlineStr">
        <is>
          <t>MEM</t>
        </is>
      </c>
      <c r="B35" t="inlineStr">
        <is>
          <t>Memory (DRAM / NAND)</t>
        </is>
      </c>
      <c r="C35" t="n">
        <v>2024</v>
      </c>
      <c r="D35" s="2" t="n">
        <v>164.485</v>
      </c>
      <c r="E35" s="3" t="n">
        <v>9.67</v>
      </c>
      <c r="F35" s="4" t="n">
        <v>0.0383</v>
      </c>
      <c r="G35" s="5">
        <f>D35*F35</f>
        <v/>
      </c>
      <c r="H35" s="6" t="n">
        <v>77.8</v>
      </c>
      <c r="I35" s="6" t="n">
        <v>54.1</v>
      </c>
      <c r="J35" s="6" t="n">
        <v>25.8</v>
      </c>
      <c r="K35" s="6" t="n">
        <v>32.1</v>
      </c>
      <c r="L35" s="6" t="n">
        <v>45</v>
      </c>
      <c r="M35" s="6" t="n">
        <v>29</v>
      </c>
    </row>
    <row r="36">
      <c r="A36" t="inlineStr">
        <is>
          <t>MEM</t>
        </is>
      </c>
      <c r="B36" t="inlineStr">
        <is>
          <t>Memory (DRAM / NAND)</t>
        </is>
      </c>
      <c r="C36" t="n">
        <v>2025</v>
      </c>
      <c r="D36" s="2" t="n">
        <v>190.621</v>
      </c>
      <c r="E36" s="3" t="n">
        <v>9.220000000000001</v>
      </c>
      <c r="F36" s="4" t="n">
        <v>0.0394</v>
      </c>
      <c r="G36" s="5">
        <f>D36*F36</f>
        <v/>
      </c>
      <c r="H36" s="6" t="n">
        <v>79.09999999999999</v>
      </c>
      <c r="I36" s="6" t="n">
        <v>56.9</v>
      </c>
      <c r="J36" s="6" t="n">
        <v>25.9</v>
      </c>
      <c r="K36" s="6" t="n">
        <v>34.9</v>
      </c>
      <c r="L36" s="6" t="n">
        <v>43.7</v>
      </c>
      <c r="M36" s="6" t="n">
        <v>29.3</v>
      </c>
    </row>
    <row r="37">
      <c r="A37" t="inlineStr">
        <is>
          <t>MEM</t>
        </is>
      </c>
      <c r="B37" t="inlineStr">
        <is>
          <t>Memory (DRAM / NAND)</t>
        </is>
      </c>
      <c r="C37" t="n">
        <v>2026</v>
      </c>
      <c r="D37" s="2" t="n">
        <v>206.536</v>
      </c>
      <c r="E37" s="3" t="n">
        <v>8.779999999999999</v>
      </c>
      <c r="F37" s="4" t="n">
        <v>0.0406</v>
      </c>
      <c r="G37" s="5">
        <f>D37*F37</f>
        <v/>
      </c>
      <c r="H37" s="6" t="n">
        <v>80.40000000000001</v>
      </c>
      <c r="I37" s="6" t="n">
        <v>55.1</v>
      </c>
      <c r="J37" s="6" t="n">
        <v>25.2</v>
      </c>
      <c r="K37" s="6" t="n">
        <v>34.4</v>
      </c>
      <c r="L37" s="6" t="n">
        <v>44.3</v>
      </c>
      <c r="M37" s="6" t="n">
        <v>29.7</v>
      </c>
    </row>
    <row r="38">
      <c r="A38" t="inlineStr">
        <is>
          <t>MEM</t>
        </is>
      </c>
      <c r="B38" t="inlineStr">
        <is>
          <t>Memory (DRAM / NAND)</t>
        </is>
      </c>
      <c r="C38" t="n">
        <v>2027</v>
      </c>
      <c r="D38" s="2" t="n">
        <v>208.673</v>
      </c>
      <c r="E38" s="3" t="n">
        <v>8.33</v>
      </c>
      <c r="F38" s="4" t="n">
        <v>0.0417</v>
      </c>
      <c r="G38" s="5">
        <f>D38*F38</f>
        <v/>
      </c>
      <c r="H38" s="6" t="n">
        <v>81.3</v>
      </c>
      <c r="I38" s="6" t="n">
        <v>55.3</v>
      </c>
      <c r="J38" s="6" t="n">
        <v>24.8</v>
      </c>
      <c r="K38" s="6" t="n">
        <v>36.3</v>
      </c>
      <c r="L38" s="6" t="n">
        <v>45.4</v>
      </c>
      <c r="M38" s="6" t="n">
        <v>30</v>
      </c>
    </row>
    <row r="39">
      <c r="A39" t="inlineStr">
        <is>
          <t>MEM</t>
        </is>
      </c>
      <c r="B39" t="inlineStr">
        <is>
          <t>Memory (DRAM / NAND)</t>
        </is>
      </c>
      <c r="C39" t="n">
        <v>2028</v>
      </c>
      <c r="D39" s="2" t="n">
        <v>236.925</v>
      </c>
      <c r="E39" s="3" t="n">
        <v>7.89</v>
      </c>
      <c r="F39" s="4" t="n">
        <v>0.0428</v>
      </c>
      <c r="G39" s="5">
        <f>D39*F39</f>
        <v/>
      </c>
      <c r="H39" s="6" t="n">
        <v>82</v>
      </c>
      <c r="I39" s="6" t="n">
        <v>56.5</v>
      </c>
      <c r="J39" s="6" t="n">
        <v>23.7</v>
      </c>
      <c r="K39" s="6" t="n">
        <v>35.7</v>
      </c>
      <c r="L39" s="6" t="n">
        <v>46.9</v>
      </c>
      <c r="M39" s="6" t="n">
        <v>30.3</v>
      </c>
    </row>
    <row r="40">
      <c r="A40" t="inlineStr">
        <is>
          <t>MEM</t>
        </is>
      </c>
      <c r="B40" t="inlineStr">
        <is>
          <t>Memory (DRAM / NAND)</t>
        </is>
      </c>
      <c r="C40" t="n">
        <v>2029</v>
      </c>
      <c r="D40" s="2" t="n">
        <v>255.382</v>
      </c>
      <c r="E40" s="3" t="n">
        <v>7.44</v>
      </c>
      <c r="F40" s="4" t="n">
        <v>0.0439</v>
      </c>
      <c r="G40" s="5">
        <f>D40*F40</f>
        <v/>
      </c>
      <c r="H40" s="6" t="n">
        <v>85.3</v>
      </c>
      <c r="I40" s="6" t="n">
        <v>57.3</v>
      </c>
      <c r="J40" s="6" t="n">
        <v>23.3</v>
      </c>
      <c r="K40" s="6" t="n">
        <v>38.1</v>
      </c>
      <c r="L40" s="6" t="n">
        <v>46.2</v>
      </c>
      <c r="M40" s="6" t="n">
        <v>30.7</v>
      </c>
    </row>
    <row r="41">
      <c r="A41" t="inlineStr">
        <is>
          <t>MEM</t>
        </is>
      </c>
      <c r="B41" t="inlineStr">
        <is>
          <t>Memory (DRAM / NAND)</t>
        </is>
      </c>
      <c r="C41" t="n">
        <v>2030</v>
      </c>
      <c r="D41" s="2" t="n">
        <v>270.901</v>
      </c>
      <c r="E41" s="3" t="n">
        <v>7</v>
      </c>
      <c r="F41" s="4" t="n">
        <v>0.045</v>
      </c>
      <c r="G41" s="5">
        <f>D41*F41</f>
        <v/>
      </c>
      <c r="H41" s="6" t="n">
        <v>83.3</v>
      </c>
      <c r="I41" s="6" t="n">
        <v>60.8</v>
      </c>
      <c r="J41" s="6" t="n">
        <v>24.5</v>
      </c>
      <c r="K41" s="6" t="n">
        <v>38.7</v>
      </c>
      <c r="L41" s="6" t="n">
        <v>47.4</v>
      </c>
      <c r="M41" s="6" t="n">
        <v>31</v>
      </c>
    </row>
    <row r="42">
      <c r="A42" t="inlineStr">
        <is>
          <t>MEMS</t>
        </is>
      </c>
      <c r="B42" t="inlineStr">
        <is>
          <t>MEMS &amp; sensors</t>
        </is>
      </c>
      <c r="C42" t="n">
        <v>2021</v>
      </c>
      <c r="D42" s="2" t="n">
        <v>16.755</v>
      </c>
      <c r="E42" s="3" t="n">
        <v>9.199999999999999</v>
      </c>
      <c r="F42" s="4" t="n">
        <v>0.18</v>
      </c>
      <c r="G42" s="5">
        <f>D42*F42</f>
        <v/>
      </c>
      <c r="H42" s="6" t="n">
        <v>56.1</v>
      </c>
      <c r="I42" s="6" t="n">
        <v>59.4</v>
      </c>
      <c r="J42" s="6" t="n">
        <v>74.8</v>
      </c>
      <c r="K42" s="6" t="n">
        <v>62</v>
      </c>
      <c r="L42" s="6" t="n">
        <v>60.3</v>
      </c>
      <c r="M42" s="6" t="n">
        <v>9.5</v>
      </c>
    </row>
    <row r="43">
      <c r="A43" t="inlineStr">
        <is>
          <t>MEMS</t>
        </is>
      </c>
      <c r="B43" t="inlineStr">
        <is>
          <t>MEMS &amp; sensors</t>
        </is>
      </c>
      <c r="C43" t="n">
        <v>2022</v>
      </c>
      <c r="D43" s="2" t="n">
        <v>17.838</v>
      </c>
      <c r="E43" s="3" t="n">
        <v>8.960000000000001</v>
      </c>
      <c r="F43" s="4" t="n">
        <v>0.1822</v>
      </c>
      <c r="G43" s="5">
        <f>D43*F43</f>
        <v/>
      </c>
      <c r="H43" s="6" t="n">
        <v>56.4</v>
      </c>
      <c r="I43" s="6" t="n">
        <v>61.9</v>
      </c>
      <c r="J43" s="6" t="n">
        <v>73.5</v>
      </c>
      <c r="K43" s="6" t="n">
        <v>66.3</v>
      </c>
      <c r="L43" s="6" t="n">
        <v>62.2</v>
      </c>
      <c r="M43" s="6" t="n">
        <v>9.6</v>
      </c>
    </row>
    <row r="44">
      <c r="A44" t="inlineStr">
        <is>
          <t>MEMS</t>
        </is>
      </c>
      <c r="B44" t="inlineStr">
        <is>
          <t>MEMS &amp; sensors</t>
        </is>
      </c>
      <c r="C44" t="n">
        <v>2023</v>
      </c>
      <c r="D44" s="2" t="n">
        <v>18.277</v>
      </c>
      <c r="E44" s="3" t="n">
        <v>8.710000000000001</v>
      </c>
      <c r="F44" s="4" t="n">
        <v>0.1844</v>
      </c>
      <c r="G44" s="5">
        <f>D44*F44</f>
        <v/>
      </c>
      <c r="H44" s="6" t="n">
        <v>55.6</v>
      </c>
      <c r="I44" s="6" t="n">
        <v>62.4</v>
      </c>
      <c r="J44" s="6" t="n">
        <v>74.8</v>
      </c>
      <c r="K44" s="6" t="n">
        <v>65.5</v>
      </c>
      <c r="L44" s="6" t="n">
        <v>65.2</v>
      </c>
      <c r="M44" s="6" t="n">
        <v>9.699999999999999</v>
      </c>
    </row>
    <row r="45">
      <c r="A45" t="inlineStr">
        <is>
          <t>MEMS</t>
        </is>
      </c>
      <c r="B45" t="inlineStr">
        <is>
          <t>MEMS &amp; sensors</t>
        </is>
      </c>
      <c r="C45" t="n">
        <v>2024</v>
      </c>
      <c r="D45" s="2" t="n">
        <v>21.05</v>
      </c>
      <c r="E45" s="3" t="n">
        <v>8.470000000000001</v>
      </c>
      <c r="F45" s="4" t="n">
        <v>0.1867</v>
      </c>
      <c r="G45" s="5">
        <f>D45*F45</f>
        <v/>
      </c>
      <c r="H45" s="6" t="n">
        <v>56.6</v>
      </c>
      <c r="I45" s="6" t="n">
        <v>60.4</v>
      </c>
      <c r="J45" s="6" t="n">
        <v>74.09999999999999</v>
      </c>
      <c r="K45" s="6" t="n">
        <v>65</v>
      </c>
      <c r="L45" s="6" t="n">
        <v>64</v>
      </c>
      <c r="M45" s="6" t="n">
        <v>9.800000000000001</v>
      </c>
    </row>
    <row r="46">
      <c r="A46" t="inlineStr">
        <is>
          <t>MEMS</t>
        </is>
      </c>
      <c r="B46" t="inlineStr">
        <is>
          <t>MEMS &amp; sensors</t>
        </is>
      </c>
      <c r="C46" t="n">
        <v>2025</v>
      </c>
      <c r="D46" s="2" t="n">
        <v>23.029</v>
      </c>
      <c r="E46" s="3" t="n">
        <v>8.220000000000001</v>
      </c>
      <c r="F46" s="4" t="n">
        <v>0.1889</v>
      </c>
      <c r="G46" s="5">
        <f>D46*F46</f>
        <v/>
      </c>
      <c r="H46" s="6" t="n">
        <v>57.3</v>
      </c>
      <c r="I46" s="6" t="n">
        <v>63.1</v>
      </c>
      <c r="J46" s="6" t="n">
        <v>74.5</v>
      </c>
      <c r="K46" s="6" t="n">
        <v>66.40000000000001</v>
      </c>
      <c r="L46" s="6" t="n">
        <v>65</v>
      </c>
      <c r="M46" s="6" t="n">
        <v>9.9</v>
      </c>
    </row>
    <row r="47">
      <c r="A47" t="inlineStr">
        <is>
          <t>MEMS</t>
        </is>
      </c>
      <c r="B47" t="inlineStr">
        <is>
          <t>MEMS &amp; sensors</t>
        </is>
      </c>
      <c r="C47" t="n">
        <v>2026</v>
      </c>
      <c r="D47" s="2" t="n">
        <v>25.199</v>
      </c>
      <c r="E47" s="3" t="n">
        <v>7.98</v>
      </c>
      <c r="F47" s="4" t="n">
        <v>0.1911</v>
      </c>
      <c r="G47" s="5">
        <f>D47*F47</f>
        <v/>
      </c>
      <c r="H47" s="6" t="n">
        <v>58.4</v>
      </c>
      <c r="I47" s="6" t="n">
        <v>63.7</v>
      </c>
      <c r="J47" s="6" t="n">
        <v>75</v>
      </c>
      <c r="K47" s="6" t="n">
        <v>67.09999999999999</v>
      </c>
      <c r="L47" s="6" t="n">
        <v>67.40000000000001</v>
      </c>
      <c r="M47" s="6" t="n">
        <v>10.1</v>
      </c>
    </row>
    <row r="48">
      <c r="A48" t="inlineStr">
        <is>
          <t>MEMS</t>
        </is>
      </c>
      <c r="B48" t="inlineStr">
        <is>
          <t>MEMS &amp; sensors</t>
        </is>
      </c>
      <c r="C48" t="n">
        <v>2027</v>
      </c>
      <c r="D48" s="2" t="n">
        <v>26.552</v>
      </c>
      <c r="E48" s="3" t="n">
        <v>7.73</v>
      </c>
      <c r="F48" s="4" t="n">
        <v>0.1933</v>
      </c>
      <c r="G48" s="5">
        <f>D48*F48</f>
        <v/>
      </c>
      <c r="H48" s="6" t="n">
        <v>60.5</v>
      </c>
      <c r="I48" s="6" t="n">
        <v>63.4</v>
      </c>
      <c r="J48" s="6" t="n">
        <v>75.8</v>
      </c>
      <c r="K48" s="6" t="n">
        <v>67.5</v>
      </c>
      <c r="L48" s="6" t="n">
        <v>69.09999999999999</v>
      </c>
      <c r="M48" s="6" t="n">
        <v>10.2</v>
      </c>
    </row>
    <row r="49">
      <c r="A49" t="inlineStr">
        <is>
          <t>MEMS</t>
        </is>
      </c>
      <c r="B49" t="inlineStr">
        <is>
          <t>MEMS &amp; sensors</t>
        </is>
      </c>
      <c r="C49" t="n">
        <v>2028</v>
      </c>
      <c r="D49" s="2" t="n">
        <v>29.482</v>
      </c>
      <c r="E49" s="3" t="n">
        <v>7.49</v>
      </c>
      <c r="F49" s="4" t="n">
        <v>0.1956</v>
      </c>
      <c r="G49" s="5">
        <f>D49*F49</f>
        <v/>
      </c>
      <c r="H49" s="6" t="n">
        <v>59.6</v>
      </c>
      <c r="I49" s="6" t="n">
        <v>64.90000000000001</v>
      </c>
      <c r="J49" s="6" t="n">
        <v>74.5</v>
      </c>
      <c r="K49" s="6" t="n">
        <v>68.09999999999999</v>
      </c>
      <c r="L49" s="6" t="n">
        <v>66.5</v>
      </c>
      <c r="M49" s="6" t="n">
        <v>10.3</v>
      </c>
    </row>
    <row r="50">
      <c r="A50" t="inlineStr">
        <is>
          <t>MEMS</t>
        </is>
      </c>
      <c r="B50" t="inlineStr">
        <is>
          <t>MEMS &amp; sensors</t>
        </is>
      </c>
      <c r="C50" t="n">
        <v>2029</v>
      </c>
      <c r="D50" s="2" t="n">
        <v>31.037</v>
      </c>
      <c r="E50" s="3" t="n">
        <v>7.24</v>
      </c>
      <c r="F50" s="4" t="n">
        <v>0.1978</v>
      </c>
      <c r="G50" s="5">
        <f>D50*F50</f>
        <v/>
      </c>
      <c r="H50" s="6" t="n">
        <v>59.6</v>
      </c>
      <c r="I50" s="6" t="n">
        <v>63.4</v>
      </c>
      <c r="J50" s="6" t="n">
        <v>76.2</v>
      </c>
      <c r="K50" s="6" t="n">
        <v>69.40000000000001</v>
      </c>
      <c r="L50" s="6" t="n">
        <v>70.3</v>
      </c>
      <c r="M50" s="6" t="n">
        <v>10.4</v>
      </c>
    </row>
    <row r="51">
      <c r="A51" t="inlineStr">
        <is>
          <t>MEMS</t>
        </is>
      </c>
      <c r="B51" t="inlineStr">
        <is>
          <t>MEMS &amp; sensors</t>
        </is>
      </c>
      <c r="C51" t="n">
        <v>2030</v>
      </c>
      <c r="D51" s="2" t="n">
        <v>33.229</v>
      </c>
      <c r="E51" s="3" t="n">
        <v>7</v>
      </c>
      <c r="F51" s="4" t="n">
        <v>0.2</v>
      </c>
      <c r="G51" s="5">
        <f>D51*F51</f>
        <v/>
      </c>
      <c r="H51" s="6" t="n">
        <v>60.3</v>
      </c>
      <c r="I51" s="6" t="n">
        <v>66.3</v>
      </c>
      <c r="J51" s="6" t="n">
        <v>74</v>
      </c>
      <c r="K51" s="6" t="n">
        <v>69.90000000000001</v>
      </c>
      <c r="L51" s="6" t="n">
        <v>72.09999999999999</v>
      </c>
      <c r="M51" s="6" t="n">
        <v>10.5</v>
      </c>
    </row>
    <row r="52">
      <c r="A52" t="inlineStr">
        <is>
          <t>PHOT</t>
        </is>
      </c>
      <c r="B52" t="inlineStr">
        <is>
          <t>Silicon photonics / optical interconnect</t>
        </is>
      </c>
      <c r="C52" t="n">
        <v>2021</v>
      </c>
      <c r="D52" s="2" t="n">
        <v>4.421</v>
      </c>
      <c r="E52" s="3" t="n">
        <v>29</v>
      </c>
      <c r="F52" s="4" t="n">
        <v>0.19</v>
      </c>
      <c r="G52" s="5">
        <f>D52*F52</f>
        <v/>
      </c>
      <c r="H52" s="6" t="n">
        <v>37.1</v>
      </c>
      <c r="I52" s="6" t="n">
        <v>61.3</v>
      </c>
      <c r="J52" s="6" t="n">
        <v>40.7</v>
      </c>
      <c r="K52" s="6" t="n">
        <v>43.1</v>
      </c>
      <c r="L52" s="6" t="n">
        <v>24.4</v>
      </c>
      <c r="M52" s="6" t="n">
        <v>19</v>
      </c>
    </row>
    <row r="53">
      <c r="A53" t="inlineStr">
        <is>
          <t>PHOT</t>
        </is>
      </c>
      <c r="B53" t="inlineStr">
        <is>
          <t>Silicon photonics / optical interconnect</t>
        </is>
      </c>
      <c r="C53" t="n">
        <v>2022</v>
      </c>
      <c r="D53" s="2" t="n">
        <v>5.57</v>
      </c>
      <c r="E53" s="3" t="n">
        <v>28.22</v>
      </c>
      <c r="F53" s="4" t="n">
        <v>0.1939</v>
      </c>
      <c r="G53" s="5">
        <f>D53*F53</f>
        <v/>
      </c>
      <c r="H53" s="6" t="n">
        <v>38.3</v>
      </c>
      <c r="I53" s="6" t="n">
        <v>64.40000000000001</v>
      </c>
      <c r="J53" s="6" t="n">
        <v>43.8</v>
      </c>
      <c r="K53" s="6" t="n">
        <v>45.4</v>
      </c>
      <c r="L53" s="6" t="n">
        <v>28</v>
      </c>
      <c r="M53" s="6" t="n">
        <v>19.2</v>
      </c>
    </row>
    <row r="54">
      <c r="A54" t="inlineStr">
        <is>
          <t>PHOT</t>
        </is>
      </c>
      <c r="B54" t="inlineStr">
        <is>
          <t>Silicon photonics / optical interconnect</t>
        </is>
      </c>
      <c r="C54" t="n">
        <v>2023</v>
      </c>
      <c r="D54" s="2" t="n">
        <v>6.733</v>
      </c>
      <c r="E54" s="3" t="n">
        <v>27.44</v>
      </c>
      <c r="F54" s="4" t="n">
        <v>0.1978</v>
      </c>
      <c r="G54" s="5">
        <f>D54*F54</f>
        <v/>
      </c>
      <c r="H54" s="6" t="n">
        <v>42.6</v>
      </c>
      <c r="I54" s="6" t="n">
        <v>66.5</v>
      </c>
      <c r="J54" s="6" t="n">
        <v>43.8</v>
      </c>
      <c r="K54" s="6" t="n">
        <v>46.2</v>
      </c>
      <c r="L54" s="6" t="n">
        <v>29.8</v>
      </c>
      <c r="M54" s="6" t="n">
        <v>19.4</v>
      </c>
    </row>
    <row r="55">
      <c r="A55" t="inlineStr">
        <is>
          <t>PHOT</t>
        </is>
      </c>
      <c r="B55" t="inlineStr">
        <is>
          <t>Silicon photonics / optical interconnect</t>
        </is>
      </c>
      <c r="C55" t="n">
        <v>2024</v>
      </c>
      <c r="D55" s="2" t="n">
        <v>9.032999999999999</v>
      </c>
      <c r="E55" s="3" t="n">
        <v>26.67</v>
      </c>
      <c r="F55" s="4" t="n">
        <v>0.2017</v>
      </c>
      <c r="G55" s="5">
        <f>D55*F55</f>
        <v/>
      </c>
      <c r="H55" s="6" t="n">
        <v>45.2</v>
      </c>
      <c r="I55" s="6" t="n">
        <v>69.09999999999999</v>
      </c>
      <c r="J55" s="6" t="n">
        <v>42.3</v>
      </c>
      <c r="K55" s="6" t="n">
        <v>49.4</v>
      </c>
      <c r="L55" s="6" t="n">
        <v>30.9</v>
      </c>
      <c r="M55" s="6" t="n">
        <v>19.7</v>
      </c>
    </row>
    <row r="56">
      <c r="A56" t="inlineStr">
        <is>
          <t>PHOT</t>
        </is>
      </c>
      <c r="B56" t="inlineStr">
        <is>
          <t>Silicon photonics / optical interconnect</t>
        </is>
      </c>
      <c r="C56" t="n">
        <v>2025</v>
      </c>
      <c r="D56" s="2" t="n">
        <v>11.486</v>
      </c>
      <c r="E56" s="3" t="n">
        <v>25.89</v>
      </c>
      <c r="F56" s="4" t="n">
        <v>0.2056</v>
      </c>
      <c r="G56" s="5">
        <f>D56*F56</f>
        <v/>
      </c>
      <c r="H56" s="6" t="n">
        <v>45.2</v>
      </c>
      <c r="I56" s="6" t="n">
        <v>69.8</v>
      </c>
      <c r="J56" s="6" t="n">
        <v>42.7</v>
      </c>
      <c r="K56" s="6" t="n">
        <v>47.8</v>
      </c>
      <c r="L56" s="6" t="n">
        <v>29.3</v>
      </c>
      <c r="M56" s="6" t="n">
        <v>19.9</v>
      </c>
    </row>
    <row r="57">
      <c r="A57" t="inlineStr">
        <is>
          <t>PHOT</t>
        </is>
      </c>
      <c r="B57" t="inlineStr">
        <is>
          <t>Silicon photonics / optical interconnect</t>
        </is>
      </c>
      <c r="C57" t="n">
        <v>2026</v>
      </c>
      <c r="D57" s="2" t="n">
        <v>14.706</v>
      </c>
      <c r="E57" s="3" t="n">
        <v>25.11</v>
      </c>
      <c r="F57" s="4" t="n">
        <v>0.2094</v>
      </c>
      <c r="G57" s="5">
        <f>D57*F57</f>
        <v/>
      </c>
      <c r="H57" s="6" t="n">
        <v>46.9</v>
      </c>
      <c r="I57" s="6" t="n">
        <v>72.2</v>
      </c>
      <c r="J57" s="6" t="n">
        <v>43.1</v>
      </c>
      <c r="K57" s="6" t="n">
        <v>50</v>
      </c>
      <c r="L57" s="6" t="n">
        <v>32.1</v>
      </c>
      <c r="M57" s="6" t="n">
        <v>20.1</v>
      </c>
    </row>
    <row r="58">
      <c r="A58" t="inlineStr">
        <is>
          <t>PHOT</t>
        </is>
      </c>
      <c r="B58" t="inlineStr">
        <is>
          <t>Silicon photonics / optical interconnect</t>
        </is>
      </c>
      <c r="C58" t="n">
        <v>2027</v>
      </c>
      <c r="D58" s="2" t="n">
        <v>17.74</v>
      </c>
      <c r="E58" s="3" t="n">
        <v>24.33</v>
      </c>
      <c r="F58" s="4" t="n">
        <v>0.2133</v>
      </c>
      <c r="G58" s="5">
        <f>D58*F58</f>
        <v/>
      </c>
      <c r="H58" s="6" t="n">
        <v>49.1</v>
      </c>
      <c r="I58" s="6" t="n">
        <v>77.59999999999999</v>
      </c>
      <c r="J58" s="6" t="n">
        <v>45.1</v>
      </c>
      <c r="K58" s="6" t="n">
        <v>48.2</v>
      </c>
      <c r="L58" s="6" t="n">
        <v>33.8</v>
      </c>
      <c r="M58" s="6" t="n">
        <v>20.3</v>
      </c>
    </row>
    <row r="59">
      <c r="A59" t="inlineStr">
        <is>
          <t>PHOT</t>
        </is>
      </c>
      <c r="B59" t="inlineStr">
        <is>
          <t>Silicon photonics / optical interconnect</t>
        </is>
      </c>
      <c r="C59" t="n">
        <v>2028</v>
      </c>
      <c r="D59" s="2" t="n">
        <v>22.191</v>
      </c>
      <c r="E59" s="3" t="n">
        <v>23.56</v>
      </c>
      <c r="F59" s="4" t="n">
        <v>0.2172</v>
      </c>
      <c r="G59" s="5">
        <f>D59*F59</f>
        <v/>
      </c>
      <c r="H59" s="6" t="n">
        <v>50.9</v>
      </c>
      <c r="I59" s="6" t="n">
        <v>79.2</v>
      </c>
      <c r="J59" s="6" t="n">
        <v>45.8</v>
      </c>
      <c r="K59" s="6" t="n">
        <v>53.2</v>
      </c>
      <c r="L59" s="6" t="n">
        <v>36.5</v>
      </c>
      <c r="M59" s="6" t="n">
        <v>20.6</v>
      </c>
    </row>
    <row r="60">
      <c r="A60" t="inlineStr">
        <is>
          <t>PHOT</t>
        </is>
      </c>
      <c r="B60" t="inlineStr">
        <is>
          <t>Silicon photonics / optical interconnect</t>
        </is>
      </c>
      <c r="C60" t="n">
        <v>2029</v>
      </c>
      <c r="D60" s="2" t="n">
        <v>27.882</v>
      </c>
      <c r="E60" s="3" t="n">
        <v>22.78</v>
      </c>
      <c r="F60" s="4" t="n">
        <v>0.2211</v>
      </c>
      <c r="G60" s="5">
        <f>D60*F60</f>
        <v/>
      </c>
      <c r="H60" s="6" t="n">
        <v>51.5</v>
      </c>
      <c r="I60" s="6" t="n">
        <v>80.5</v>
      </c>
      <c r="J60" s="6" t="n">
        <v>48</v>
      </c>
      <c r="K60" s="6" t="n">
        <v>53.2</v>
      </c>
      <c r="L60" s="6" t="n">
        <v>35.8</v>
      </c>
      <c r="M60" s="6" t="n">
        <v>20.8</v>
      </c>
    </row>
    <row r="61">
      <c r="A61" t="inlineStr">
        <is>
          <t>PHOT</t>
        </is>
      </c>
      <c r="B61" t="inlineStr">
        <is>
          <t>Silicon photonics / optical interconnect</t>
        </is>
      </c>
      <c r="C61" t="n">
        <v>2030</v>
      </c>
      <c r="D61" s="2" t="n">
        <v>33.716</v>
      </c>
      <c r="E61" s="3" t="n">
        <v>22</v>
      </c>
      <c r="F61" s="4" t="n">
        <v>0.225</v>
      </c>
      <c r="G61" s="5">
        <f>D61*F61</f>
        <v/>
      </c>
      <c r="H61" s="6" t="n">
        <v>52.2</v>
      </c>
      <c r="I61" s="6" t="n">
        <v>84.90000000000001</v>
      </c>
      <c r="J61" s="6" t="n">
        <v>45.8</v>
      </c>
      <c r="K61" s="6" t="n">
        <v>53.5</v>
      </c>
      <c r="L61" s="6" t="n">
        <v>34.7</v>
      </c>
      <c r="M61" s="6" t="n">
        <v>21</v>
      </c>
    </row>
    <row r="62">
      <c r="A62" t="inlineStr">
        <is>
          <t>PWR</t>
        </is>
      </c>
      <c r="B62" t="inlineStr">
        <is>
          <t>Power electronics (SiC / GaN)</t>
        </is>
      </c>
      <c r="C62" t="n">
        <v>2021</v>
      </c>
      <c r="D62" s="2" t="n">
        <v>17.06</v>
      </c>
      <c r="E62" s="3" t="n">
        <v>19.5</v>
      </c>
      <c r="F62" s="4" t="n">
        <v>0.17</v>
      </c>
      <c r="G62" s="5">
        <f>D62*F62</f>
        <v/>
      </c>
      <c r="H62" s="6" t="n">
        <v>44</v>
      </c>
      <c r="I62" s="6" t="n">
        <v>74</v>
      </c>
      <c r="J62" s="6" t="n">
        <v>67</v>
      </c>
      <c r="K62" s="6" t="n">
        <v>62.1</v>
      </c>
      <c r="L62" s="6" t="n">
        <v>46.8</v>
      </c>
      <c r="M62" s="6" t="n">
        <v>13</v>
      </c>
    </row>
    <row r="63">
      <c r="A63" t="inlineStr">
        <is>
          <t>PWR</t>
        </is>
      </c>
      <c r="B63" t="inlineStr">
        <is>
          <t>Power electronics (SiC / GaN)</t>
        </is>
      </c>
      <c r="C63" t="n">
        <v>2022</v>
      </c>
      <c r="D63" s="2" t="n">
        <v>20.039</v>
      </c>
      <c r="E63" s="3" t="n">
        <v>19</v>
      </c>
      <c r="F63" s="4" t="n">
        <v>0.1722</v>
      </c>
      <c r="G63" s="5">
        <f>D63*F63</f>
        <v/>
      </c>
      <c r="H63" s="6" t="n">
        <v>46.2</v>
      </c>
      <c r="I63" s="6" t="n">
        <v>74.5</v>
      </c>
      <c r="J63" s="6" t="n">
        <v>64.40000000000001</v>
      </c>
      <c r="K63" s="6" t="n">
        <v>62.4</v>
      </c>
      <c r="L63" s="6" t="n">
        <v>48.2</v>
      </c>
      <c r="M63" s="6" t="n">
        <v>13.2</v>
      </c>
    </row>
    <row r="64">
      <c r="A64" t="inlineStr">
        <is>
          <t>PWR</t>
        </is>
      </c>
      <c r="B64" t="inlineStr">
        <is>
          <t>Power electronics (SiC / GaN)</t>
        </is>
      </c>
      <c r="C64" t="n">
        <v>2023</v>
      </c>
      <c r="D64" s="2" t="n">
        <v>22.622</v>
      </c>
      <c r="E64" s="3" t="n">
        <v>18.5</v>
      </c>
      <c r="F64" s="4" t="n">
        <v>0.1744</v>
      </c>
      <c r="G64" s="5">
        <f>D64*F64</f>
        <v/>
      </c>
      <c r="H64" s="6" t="n">
        <v>49.7</v>
      </c>
      <c r="I64" s="6" t="n">
        <v>78.90000000000001</v>
      </c>
      <c r="J64" s="6" t="n">
        <v>65.59999999999999</v>
      </c>
      <c r="K64" s="6" t="n">
        <v>62.8</v>
      </c>
      <c r="L64" s="6" t="n">
        <v>49</v>
      </c>
      <c r="M64" s="6" t="n">
        <v>13.4</v>
      </c>
    </row>
    <row r="65">
      <c r="A65" t="inlineStr">
        <is>
          <t>PWR</t>
        </is>
      </c>
      <c r="B65" t="inlineStr">
        <is>
          <t>Power electronics (SiC / GaN)</t>
        </is>
      </c>
      <c r="C65" t="n">
        <v>2024</v>
      </c>
      <c r="D65" s="2" t="n">
        <v>27.809</v>
      </c>
      <c r="E65" s="3" t="n">
        <v>18</v>
      </c>
      <c r="F65" s="4" t="n">
        <v>0.1767</v>
      </c>
      <c r="G65" s="5">
        <f>D65*F65</f>
        <v/>
      </c>
      <c r="H65" s="6" t="n">
        <v>50.7</v>
      </c>
      <c r="I65" s="6" t="n">
        <v>80.59999999999999</v>
      </c>
      <c r="J65" s="6" t="n">
        <v>65.09999999999999</v>
      </c>
      <c r="K65" s="6" t="n">
        <v>62.6</v>
      </c>
      <c r="L65" s="6" t="n">
        <v>51.4</v>
      </c>
      <c r="M65" s="6" t="n">
        <v>13.7</v>
      </c>
    </row>
    <row r="66">
      <c r="A66" t="inlineStr">
        <is>
          <t>PWR</t>
        </is>
      </c>
      <c r="B66" t="inlineStr">
        <is>
          <t>Power electronics (SiC / GaN)</t>
        </is>
      </c>
      <c r="C66" t="n">
        <v>2025</v>
      </c>
      <c r="D66" s="2" t="n">
        <v>33.901</v>
      </c>
      <c r="E66" s="3" t="n">
        <v>17.5</v>
      </c>
      <c r="F66" s="4" t="n">
        <v>0.1789</v>
      </c>
      <c r="G66" s="5">
        <f>D66*F66</f>
        <v/>
      </c>
      <c r="H66" s="6" t="n">
        <v>53.2</v>
      </c>
      <c r="I66" s="6" t="n">
        <v>79.7</v>
      </c>
      <c r="J66" s="6" t="n">
        <v>60.7</v>
      </c>
      <c r="K66" s="6" t="n">
        <v>64.7</v>
      </c>
      <c r="L66" s="6" t="n">
        <v>48.6</v>
      </c>
      <c r="M66" s="6" t="n">
        <v>13.9</v>
      </c>
    </row>
    <row r="67">
      <c r="A67" t="inlineStr">
        <is>
          <t>PWR</t>
        </is>
      </c>
      <c r="B67" t="inlineStr">
        <is>
          <t>Power electronics (SiC / GaN)</t>
        </is>
      </c>
      <c r="C67" t="n">
        <v>2026</v>
      </c>
      <c r="D67" s="2" t="n">
        <v>39.389</v>
      </c>
      <c r="E67" s="3" t="n">
        <v>17</v>
      </c>
      <c r="F67" s="4" t="n">
        <v>0.1811</v>
      </c>
      <c r="G67" s="5">
        <f>D67*F67</f>
        <v/>
      </c>
      <c r="H67" s="6" t="n">
        <v>52.7</v>
      </c>
      <c r="I67" s="6" t="n">
        <v>83.3</v>
      </c>
      <c r="J67" s="6" t="n">
        <v>60.3</v>
      </c>
      <c r="K67" s="6" t="n">
        <v>64.2</v>
      </c>
      <c r="L67" s="6" t="n">
        <v>53</v>
      </c>
      <c r="M67" s="6" t="n">
        <v>14.1</v>
      </c>
    </row>
    <row r="68">
      <c r="A68" t="inlineStr">
        <is>
          <t>PWR</t>
        </is>
      </c>
      <c r="B68" t="inlineStr">
        <is>
          <t>Power electronics (SiC / GaN)</t>
        </is>
      </c>
      <c r="C68" t="n">
        <v>2027</v>
      </c>
      <c r="D68" s="2" t="n">
        <v>44.363</v>
      </c>
      <c r="E68" s="3" t="n">
        <v>16.5</v>
      </c>
      <c r="F68" s="4" t="n">
        <v>0.1833</v>
      </c>
      <c r="G68" s="5">
        <f>D68*F68</f>
        <v/>
      </c>
      <c r="H68" s="6" t="n">
        <v>55</v>
      </c>
      <c r="I68" s="6" t="n">
        <v>84.40000000000001</v>
      </c>
      <c r="J68" s="6" t="n">
        <v>63.9</v>
      </c>
      <c r="K68" s="6" t="n">
        <v>66.40000000000001</v>
      </c>
      <c r="L68" s="6" t="n">
        <v>52.8</v>
      </c>
      <c r="M68" s="6" t="n">
        <v>14.3</v>
      </c>
    </row>
    <row r="69">
      <c r="A69" t="inlineStr">
        <is>
          <t>PWR</t>
        </is>
      </c>
      <c r="B69" t="inlineStr">
        <is>
          <t>Power electronics (SiC / GaN)</t>
        </is>
      </c>
      <c r="C69" t="n">
        <v>2028</v>
      </c>
      <c r="D69" s="2" t="n">
        <v>52.713</v>
      </c>
      <c r="E69" s="3" t="n">
        <v>14.67</v>
      </c>
      <c r="F69" s="4" t="n">
        <v>0.1856</v>
      </c>
      <c r="G69" s="5">
        <f>D69*F69</f>
        <v/>
      </c>
      <c r="H69" s="6" t="n">
        <v>71</v>
      </c>
      <c r="I69" s="6" t="n">
        <v>82.3</v>
      </c>
      <c r="J69" s="6" t="n">
        <v>60.9</v>
      </c>
      <c r="K69" s="6" t="n">
        <v>67</v>
      </c>
      <c r="L69" s="6" t="n">
        <v>53.6</v>
      </c>
      <c r="M69" s="6" t="n">
        <v>14.6</v>
      </c>
    </row>
    <row r="70">
      <c r="A70" t="inlineStr">
        <is>
          <t>PWR</t>
        </is>
      </c>
      <c r="B70" t="inlineStr">
        <is>
          <t>Power electronics (SiC / GaN)</t>
        </is>
      </c>
      <c r="C70" t="n">
        <v>2029</v>
      </c>
      <c r="D70" s="2" t="n">
        <v>61.037</v>
      </c>
      <c r="E70" s="3" t="n">
        <v>12.83</v>
      </c>
      <c r="F70" s="4" t="n">
        <v>0.1878</v>
      </c>
      <c r="G70" s="5">
        <f>D70*F70</f>
        <v/>
      </c>
      <c r="H70" s="6" t="n">
        <v>83.3</v>
      </c>
      <c r="I70" s="6" t="n">
        <v>80.09999999999999</v>
      </c>
      <c r="J70" s="6" t="n">
        <v>60.8</v>
      </c>
      <c r="K70" s="6" t="n">
        <v>64.8</v>
      </c>
      <c r="L70" s="6" t="n">
        <v>57.3</v>
      </c>
      <c r="M70" s="6" t="n">
        <v>14.8</v>
      </c>
    </row>
    <row r="71">
      <c r="A71" t="inlineStr">
        <is>
          <t>PWR</t>
        </is>
      </c>
      <c r="B71" t="inlineStr">
        <is>
          <t>Power electronics (SiC / GaN)</t>
        </is>
      </c>
      <c r="C71" t="n">
        <v>2030</v>
      </c>
      <c r="D71" s="2" t="n">
        <v>69.402</v>
      </c>
      <c r="E71" s="3" t="n">
        <v>11</v>
      </c>
      <c r="F71" s="4" t="n">
        <v>0.19</v>
      </c>
      <c r="G71" s="5">
        <f>D71*F71</f>
        <v/>
      </c>
      <c r="H71" s="6" t="n">
        <v>94</v>
      </c>
      <c r="I71" s="6" t="n">
        <v>81.2</v>
      </c>
      <c r="J71" s="6" t="n">
        <v>61.1</v>
      </c>
      <c r="K71" s="6" t="n">
        <v>68.5</v>
      </c>
      <c r="L71" s="6" t="n">
        <v>57.4</v>
      </c>
      <c r="M71" s="6" t="n">
        <v>15</v>
      </c>
    </row>
    <row r="72">
      <c r="A72" t="inlineStr">
        <is>
          <t>RF5G</t>
        </is>
      </c>
      <c r="B72" t="inlineStr">
        <is>
          <t>RF &amp; 5G front-end</t>
        </is>
      </c>
      <c r="C72" t="n">
        <v>2021</v>
      </c>
      <c r="D72" s="2" t="n">
        <v>27.292</v>
      </c>
      <c r="E72" s="3" t="n">
        <v>9</v>
      </c>
      <c r="F72" s="4" t="n">
        <v>0.15</v>
      </c>
      <c r="G72" s="5">
        <f>D72*F72</f>
        <v/>
      </c>
      <c r="H72" s="6" t="n">
        <v>72</v>
      </c>
      <c r="I72" s="6" t="n">
        <v>70.40000000000001</v>
      </c>
      <c r="J72" s="6" t="n">
        <v>59.2</v>
      </c>
      <c r="K72" s="6" t="n">
        <v>68.40000000000001</v>
      </c>
      <c r="L72" s="6" t="n">
        <v>59.2</v>
      </c>
      <c r="M72" s="6" t="n">
        <v>11.5</v>
      </c>
    </row>
    <row r="73">
      <c r="A73" t="inlineStr">
        <is>
          <t>RF5G</t>
        </is>
      </c>
      <c r="B73" t="inlineStr">
        <is>
          <t>RF &amp; 5G front-end</t>
        </is>
      </c>
      <c r="C73" t="n">
        <v>2022</v>
      </c>
      <c r="D73" s="2" t="n">
        <v>28.96</v>
      </c>
      <c r="E73" s="3" t="n">
        <v>8.710000000000001</v>
      </c>
      <c r="F73" s="4" t="n">
        <v>0.1522</v>
      </c>
      <c r="G73" s="5">
        <f>D73*F73</f>
        <v/>
      </c>
      <c r="H73" s="6" t="n">
        <v>72.90000000000001</v>
      </c>
      <c r="I73" s="6" t="n">
        <v>68.59999999999999</v>
      </c>
      <c r="J73" s="6" t="n">
        <v>59.3</v>
      </c>
      <c r="K73" s="6" t="n">
        <v>67</v>
      </c>
      <c r="L73" s="6" t="n">
        <v>63.9</v>
      </c>
      <c r="M73" s="6" t="n">
        <v>11.6</v>
      </c>
    </row>
    <row r="74">
      <c r="A74" t="inlineStr">
        <is>
          <t>RF5G</t>
        </is>
      </c>
      <c r="B74" t="inlineStr">
        <is>
          <t>RF &amp; 5G front-end</t>
        </is>
      </c>
      <c r="C74" t="n">
        <v>2023</v>
      </c>
      <c r="D74" s="2" t="n">
        <v>29.441</v>
      </c>
      <c r="E74" s="3" t="n">
        <v>8.42</v>
      </c>
      <c r="F74" s="4" t="n">
        <v>0.1544</v>
      </c>
      <c r="G74" s="5">
        <f>D74*F74</f>
        <v/>
      </c>
      <c r="H74" s="6" t="n">
        <v>72.8</v>
      </c>
      <c r="I74" s="6" t="n">
        <v>68</v>
      </c>
      <c r="J74" s="6" t="n">
        <v>60.8</v>
      </c>
      <c r="K74" s="6" t="n">
        <v>67.59999999999999</v>
      </c>
      <c r="L74" s="6" t="n">
        <v>63.5</v>
      </c>
      <c r="M74" s="6" t="n">
        <v>11.7</v>
      </c>
    </row>
    <row r="75">
      <c r="A75" t="inlineStr">
        <is>
          <t>RF5G</t>
        </is>
      </c>
      <c r="B75" t="inlineStr">
        <is>
          <t>RF &amp; 5G front-end</t>
        </is>
      </c>
      <c r="C75" t="n">
        <v>2024</v>
      </c>
      <c r="D75" s="2" t="n">
        <v>33.92</v>
      </c>
      <c r="E75" s="3" t="n">
        <v>8.130000000000001</v>
      </c>
      <c r="F75" s="4" t="n">
        <v>0.1567</v>
      </c>
      <c r="G75" s="5">
        <f>D75*F75</f>
        <v/>
      </c>
      <c r="H75" s="6" t="n">
        <v>73.3</v>
      </c>
      <c r="I75" s="6" t="n">
        <v>67.3</v>
      </c>
      <c r="J75" s="6" t="n">
        <v>59.3</v>
      </c>
      <c r="K75" s="6" t="n">
        <v>69.2</v>
      </c>
      <c r="L75" s="6" t="n">
        <v>62.8</v>
      </c>
      <c r="M75" s="6" t="n">
        <v>11.8</v>
      </c>
    </row>
    <row r="76">
      <c r="A76" t="inlineStr">
        <is>
          <t>RF5G</t>
        </is>
      </c>
      <c r="B76" t="inlineStr">
        <is>
          <t>RF &amp; 5G front-end</t>
        </is>
      </c>
      <c r="C76" t="n">
        <v>2025</v>
      </c>
      <c r="D76" s="2" t="n">
        <v>37.869</v>
      </c>
      <c r="E76" s="3" t="n">
        <v>7.84</v>
      </c>
      <c r="F76" s="4" t="n">
        <v>0.1589</v>
      </c>
      <c r="G76" s="5">
        <f>D76*F76</f>
        <v/>
      </c>
      <c r="H76" s="6" t="n">
        <v>74.40000000000001</v>
      </c>
      <c r="I76" s="6" t="n">
        <v>67.90000000000001</v>
      </c>
      <c r="J76" s="6" t="n">
        <v>59</v>
      </c>
      <c r="K76" s="6" t="n">
        <v>67.7</v>
      </c>
      <c r="L76" s="6" t="n">
        <v>66.7</v>
      </c>
      <c r="M76" s="6" t="n">
        <v>11.9</v>
      </c>
    </row>
    <row r="77">
      <c r="A77" t="inlineStr">
        <is>
          <t>RF5G</t>
        </is>
      </c>
      <c r="B77" t="inlineStr">
        <is>
          <t>RF &amp; 5G front-end</t>
        </is>
      </c>
      <c r="C77" t="n">
        <v>2026</v>
      </c>
      <c r="D77" s="2" t="n">
        <v>40.122</v>
      </c>
      <c r="E77" s="3" t="n">
        <v>7.56</v>
      </c>
      <c r="F77" s="4" t="n">
        <v>0.1611</v>
      </c>
      <c r="G77" s="5">
        <f>D77*F77</f>
        <v/>
      </c>
      <c r="H77" s="6" t="n">
        <v>75</v>
      </c>
      <c r="I77" s="6" t="n">
        <v>64.90000000000001</v>
      </c>
      <c r="J77" s="6" t="n">
        <v>60.8</v>
      </c>
      <c r="K77" s="6" t="n">
        <v>69.8</v>
      </c>
      <c r="L77" s="6" t="n">
        <v>64</v>
      </c>
      <c r="M77" s="6" t="n">
        <v>12.1</v>
      </c>
    </row>
    <row r="78">
      <c r="A78" t="inlineStr">
        <is>
          <t>RF5G</t>
        </is>
      </c>
      <c r="B78" t="inlineStr">
        <is>
          <t>RF &amp; 5G front-end</t>
        </is>
      </c>
      <c r="C78" t="n">
        <v>2027</v>
      </c>
      <c r="D78" s="2" t="n">
        <v>41.902</v>
      </c>
      <c r="E78" s="3" t="n">
        <v>7.27</v>
      </c>
      <c r="F78" s="4" t="n">
        <v>0.1633</v>
      </c>
      <c r="G78" s="5">
        <f>D78*F78</f>
        <v/>
      </c>
      <c r="H78" s="6" t="n">
        <v>75.2</v>
      </c>
      <c r="I78" s="6" t="n">
        <v>65.59999999999999</v>
      </c>
      <c r="J78" s="6" t="n">
        <v>58</v>
      </c>
      <c r="K78" s="6" t="n">
        <v>69.90000000000001</v>
      </c>
      <c r="L78" s="6" t="n">
        <v>63.8</v>
      </c>
      <c r="M78" s="6" t="n">
        <v>12.2</v>
      </c>
    </row>
    <row r="79">
      <c r="A79" t="inlineStr">
        <is>
          <t>RF5G</t>
        </is>
      </c>
      <c r="B79" t="inlineStr">
        <is>
          <t>RF &amp; 5G front-end</t>
        </is>
      </c>
      <c r="C79" t="n">
        <v>2028</v>
      </c>
      <c r="D79" s="2" t="n">
        <v>45.864</v>
      </c>
      <c r="E79" s="3" t="n">
        <v>6.98</v>
      </c>
      <c r="F79" s="4" t="n">
        <v>0.1656</v>
      </c>
      <c r="G79" s="5">
        <f>D79*F79</f>
        <v/>
      </c>
      <c r="H79" s="6" t="n">
        <v>75.5</v>
      </c>
      <c r="I79" s="6" t="n">
        <v>64.3</v>
      </c>
      <c r="J79" s="6" t="n">
        <v>59.1</v>
      </c>
      <c r="K79" s="6" t="n">
        <v>72.09999999999999</v>
      </c>
      <c r="L79" s="6" t="n">
        <v>67.59999999999999</v>
      </c>
      <c r="M79" s="6" t="n">
        <v>12.3</v>
      </c>
    </row>
    <row r="80">
      <c r="A80" t="inlineStr">
        <is>
          <t>RF5G</t>
        </is>
      </c>
      <c r="B80" t="inlineStr">
        <is>
          <t>RF &amp; 5G front-end</t>
        </is>
      </c>
      <c r="C80" t="n">
        <v>2029</v>
      </c>
      <c r="D80" s="2" t="n">
        <v>49.652</v>
      </c>
      <c r="E80" s="3" t="n">
        <v>6.69</v>
      </c>
      <c r="F80" s="4" t="n">
        <v>0.1678</v>
      </c>
      <c r="G80" s="5">
        <f>D80*F80</f>
        <v/>
      </c>
      <c r="H80" s="6" t="n">
        <v>75.59999999999999</v>
      </c>
      <c r="I80" s="6" t="n">
        <v>64.3</v>
      </c>
      <c r="J80" s="6" t="n">
        <v>59.1</v>
      </c>
      <c r="K80" s="6" t="n">
        <v>71.90000000000001</v>
      </c>
      <c r="L80" s="6" t="n">
        <v>67.3</v>
      </c>
      <c r="M80" s="6" t="n">
        <v>12.4</v>
      </c>
    </row>
    <row r="81">
      <c r="A81" t="inlineStr">
        <is>
          <t>RF5G</t>
        </is>
      </c>
      <c r="B81" t="inlineStr">
        <is>
          <t>RF &amp; 5G front-end</t>
        </is>
      </c>
      <c r="C81" t="n">
        <v>2030</v>
      </c>
      <c r="D81" s="2" t="n">
        <v>51.908</v>
      </c>
      <c r="E81" s="3" t="n">
        <v>6.4</v>
      </c>
      <c r="F81" s="4" t="n">
        <v>0.17</v>
      </c>
      <c r="G81" s="5">
        <f>D81*F81</f>
        <v/>
      </c>
      <c r="H81" s="6" t="n">
        <v>76</v>
      </c>
      <c r="I81" s="6" t="n">
        <v>64.90000000000001</v>
      </c>
      <c r="J81" s="6" t="n">
        <v>58.6</v>
      </c>
      <c r="K81" s="6" t="n">
        <v>71.2</v>
      </c>
      <c r="L81" s="6" t="n">
        <v>68.2</v>
      </c>
      <c r="M81" s="6" t="n">
        <v>12.5</v>
      </c>
    </row>
    <row r="83">
      <c r="A83" s="7" t="inlineStr">
        <is>
          <t>Illustrative dataset constructed to be directionally consistent with publicly reported industry estimates. Figures are for methodology demonstration and are not market research.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8"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A1" s="1" t="inlineStr">
        <is>
          <t>segment_id</t>
        </is>
      </c>
      <c r="B1" s="1" t="inlineStr">
        <is>
          <t>segment_name</t>
        </is>
      </c>
      <c r="C1" s="1" t="inlineStr">
        <is>
          <t>year</t>
        </is>
      </c>
      <c r="D1" s="1" t="inlineStr">
        <is>
          <t>norm_serviceable_market_size</t>
        </is>
      </c>
      <c r="E1" s="1" t="inlineStr">
        <is>
          <t>norm_cagr</t>
        </is>
      </c>
      <c r="F1" s="1" t="inlineStr">
        <is>
          <t>norm_design_services_addressability</t>
        </is>
      </c>
      <c r="G1" s="1" t="inlineStr">
        <is>
          <t>norm_strategic_fit</t>
        </is>
      </c>
      <c r="H1" s="1" t="inlineStr">
        <is>
          <t>norm_customer_demand</t>
        </is>
      </c>
      <c r="I1" s="1" t="inlineStr">
        <is>
          <t>norm_competitive_intensity</t>
        </is>
      </c>
      <c r="J1" s="1" t="inlineStr">
        <is>
          <t>norm_entry_feasibility</t>
        </is>
      </c>
    </row>
    <row r="2">
      <c r="A2">
        <f>'Raw Data'!A2</f>
        <v/>
      </c>
      <c r="B2">
        <f>'Raw Data'!B2</f>
        <v/>
      </c>
      <c r="C2">
        <f>'Raw Data'!C2</f>
        <v/>
      </c>
      <c r="D2" s="6">
        <f>IFERROR(('Raw Data'!G2-MINIFS('Raw Data'!$G$2:$G$81,'Raw Data'!$C$2:$C$81,$C2))/(MAXIFS('Raw Data'!$G$2:$G$81,'Raw Data'!$C$2:$C$81,$C2)-MINIFS('Raw Data'!$G$2:$G$81,'Raw Data'!$C$2:$C$81,$C2))*100,50)</f>
        <v/>
      </c>
      <c r="E2" s="6">
        <f>IFERROR(('Raw Data'!E2-MINIFS('Raw Data'!$E$2:$E$81,'Raw Data'!$C$2:$C$81,$C2))/(MAXIFS('Raw Data'!$E$2:$E$81,'Raw Data'!$C$2:$C$81,$C2)-MINIFS('Raw Data'!$E$2:$E$81,'Raw Data'!$C$2:$C$81,$C2))*100,50)</f>
        <v/>
      </c>
      <c r="F2" s="6">
        <f>IFERROR(('Raw Data'!F2-MINIFS('Raw Data'!$F$2:$F$81,'Raw Data'!$C$2:$C$81,$C2))/(MAXIFS('Raw Data'!$F$2:$F$81,'Raw Data'!$C$2:$C$81,$C2)-MINIFS('Raw Data'!$F$2:$F$81,'Raw Data'!$C$2:$C$81,$C2))*100,50)</f>
        <v/>
      </c>
      <c r="G2" s="6">
        <f>IFERROR(('Raw Data'!K2-MINIFS('Raw Data'!$K$2:$K$81,'Raw Data'!$C$2:$C$81,$C2))/(MAXIFS('Raw Data'!$K$2:$K$81,'Raw Data'!$C$2:$C$81,$C2)-MINIFS('Raw Data'!$K$2:$K$81,'Raw Data'!$C$2:$C$81,$C2))*100,50)</f>
        <v/>
      </c>
      <c r="H2" s="6">
        <f>IFERROR(('Raw Data'!I2-MINIFS('Raw Data'!$I$2:$I$81,'Raw Data'!$C$2:$C$81,$C2))/(MAXIFS('Raw Data'!$I$2:$I$81,'Raw Data'!$C$2:$C$81,$C2)-MINIFS('Raw Data'!$I$2:$I$81,'Raw Data'!$C$2:$C$81,$C2))*100,50)</f>
        <v/>
      </c>
      <c r="I2" s="6">
        <f>100-IFERROR(('Raw Data'!H2-MINIFS('Raw Data'!$H$2:$H$81,'Raw Data'!$C$2:$C$81,$C2))/(MAXIFS('Raw Data'!$H$2:$H$81,'Raw Data'!$C$2:$C$81,$C2)-MINIFS('Raw Data'!$H$2:$H$81,'Raw Data'!$C$2:$C$81,$C2))*100,50)</f>
        <v/>
      </c>
      <c r="J2" s="6">
        <f>IFERROR(('Raw Data'!J2-MINIFS('Raw Data'!$J$2:$J$81,'Raw Data'!$C$2:$C$81,$C2))/(MAXIFS('Raw Data'!$J$2:$J$81,'Raw Data'!$C$2:$C$81,$C2)-MINIFS('Raw Data'!$J$2:$J$81,'Raw Data'!$C$2:$C$81,$C2))*100,50)</f>
        <v/>
      </c>
    </row>
    <row r="3">
      <c r="A3">
        <f>'Raw Data'!A3</f>
        <v/>
      </c>
      <c r="B3">
        <f>'Raw Data'!B3</f>
        <v/>
      </c>
      <c r="C3">
        <f>'Raw Data'!C3</f>
        <v/>
      </c>
      <c r="D3" s="6">
        <f>IFERROR(('Raw Data'!G3-MINIFS('Raw Data'!$G$2:$G$81,'Raw Data'!$C$2:$C$81,$C3))/(MAXIFS('Raw Data'!$G$2:$G$81,'Raw Data'!$C$2:$C$81,$C3)-MINIFS('Raw Data'!$G$2:$G$81,'Raw Data'!$C$2:$C$81,$C3))*100,50)</f>
        <v/>
      </c>
      <c r="E3" s="6">
        <f>IFERROR(('Raw Data'!E3-MINIFS('Raw Data'!$E$2:$E$81,'Raw Data'!$C$2:$C$81,$C3))/(MAXIFS('Raw Data'!$E$2:$E$81,'Raw Data'!$C$2:$C$81,$C3)-MINIFS('Raw Data'!$E$2:$E$81,'Raw Data'!$C$2:$C$81,$C3))*100,50)</f>
        <v/>
      </c>
      <c r="F3" s="6">
        <f>IFERROR(('Raw Data'!F3-MINIFS('Raw Data'!$F$2:$F$81,'Raw Data'!$C$2:$C$81,$C3))/(MAXIFS('Raw Data'!$F$2:$F$81,'Raw Data'!$C$2:$C$81,$C3)-MINIFS('Raw Data'!$F$2:$F$81,'Raw Data'!$C$2:$C$81,$C3))*100,50)</f>
        <v/>
      </c>
      <c r="G3" s="6">
        <f>IFERROR(('Raw Data'!K3-MINIFS('Raw Data'!$K$2:$K$81,'Raw Data'!$C$2:$C$81,$C3))/(MAXIFS('Raw Data'!$K$2:$K$81,'Raw Data'!$C$2:$C$81,$C3)-MINIFS('Raw Data'!$K$2:$K$81,'Raw Data'!$C$2:$C$81,$C3))*100,50)</f>
        <v/>
      </c>
      <c r="H3" s="6">
        <f>IFERROR(('Raw Data'!I3-MINIFS('Raw Data'!$I$2:$I$81,'Raw Data'!$C$2:$C$81,$C3))/(MAXIFS('Raw Data'!$I$2:$I$81,'Raw Data'!$C$2:$C$81,$C3)-MINIFS('Raw Data'!$I$2:$I$81,'Raw Data'!$C$2:$C$81,$C3))*100,50)</f>
        <v/>
      </c>
      <c r="I3" s="6">
        <f>100-IFERROR(('Raw Data'!H3-MINIFS('Raw Data'!$H$2:$H$81,'Raw Data'!$C$2:$C$81,$C3))/(MAXIFS('Raw Data'!$H$2:$H$81,'Raw Data'!$C$2:$C$81,$C3)-MINIFS('Raw Data'!$H$2:$H$81,'Raw Data'!$C$2:$C$81,$C3))*100,50)</f>
        <v/>
      </c>
      <c r="J3" s="6">
        <f>IFERROR(('Raw Data'!J3-MINIFS('Raw Data'!$J$2:$J$81,'Raw Data'!$C$2:$C$81,$C3))/(MAXIFS('Raw Data'!$J$2:$J$81,'Raw Data'!$C$2:$C$81,$C3)-MINIFS('Raw Data'!$J$2:$J$81,'Raw Data'!$C$2:$C$81,$C3))*100,50)</f>
        <v/>
      </c>
    </row>
    <row r="4">
      <c r="A4">
        <f>'Raw Data'!A4</f>
        <v/>
      </c>
      <c r="B4">
        <f>'Raw Data'!B4</f>
        <v/>
      </c>
      <c r="C4">
        <f>'Raw Data'!C4</f>
        <v/>
      </c>
      <c r="D4" s="6">
        <f>IFERROR(('Raw Data'!G4-MINIFS('Raw Data'!$G$2:$G$81,'Raw Data'!$C$2:$C$81,$C4))/(MAXIFS('Raw Data'!$G$2:$G$81,'Raw Data'!$C$2:$C$81,$C4)-MINIFS('Raw Data'!$G$2:$G$81,'Raw Data'!$C$2:$C$81,$C4))*100,50)</f>
        <v/>
      </c>
      <c r="E4" s="6">
        <f>IFERROR(('Raw Data'!E4-MINIFS('Raw Data'!$E$2:$E$81,'Raw Data'!$C$2:$C$81,$C4))/(MAXIFS('Raw Data'!$E$2:$E$81,'Raw Data'!$C$2:$C$81,$C4)-MINIFS('Raw Data'!$E$2:$E$81,'Raw Data'!$C$2:$C$81,$C4))*100,50)</f>
        <v/>
      </c>
      <c r="F4" s="6">
        <f>IFERROR(('Raw Data'!F4-MINIFS('Raw Data'!$F$2:$F$81,'Raw Data'!$C$2:$C$81,$C4))/(MAXIFS('Raw Data'!$F$2:$F$81,'Raw Data'!$C$2:$C$81,$C4)-MINIFS('Raw Data'!$F$2:$F$81,'Raw Data'!$C$2:$C$81,$C4))*100,50)</f>
        <v/>
      </c>
      <c r="G4" s="6">
        <f>IFERROR(('Raw Data'!K4-MINIFS('Raw Data'!$K$2:$K$81,'Raw Data'!$C$2:$C$81,$C4))/(MAXIFS('Raw Data'!$K$2:$K$81,'Raw Data'!$C$2:$C$81,$C4)-MINIFS('Raw Data'!$K$2:$K$81,'Raw Data'!$C$2:$C$81,$C4))*100,50)</f>
        <v/>
      </c>
      <c r="H4" s="6">
        <f>IFERROR(('Raw Data'!I4-MINIFS('Raw Data'!$I$2:$I$81,'Raw Data'!$C$2:$C$81,$C4))/(MAXIFS('Raw Data'!$I$2:$I$81,'Raw Data'!$C$2:$C$81,$C4)-MINIFS('Raw Data'!$I$2:$I$81,'Raw Data'!$C$2:$C$81,$C4))*100,50)</f>
        <v/>
      </c>
      <c r="I4" s="6">
        <f>100-IFERROR(('Raw Data'!H4-MINIFS('Raw Data'!$H$2:$H$81,'Raw Data'!$C$2:$C$81,$C4))/(MAXIFS('Raw Data'!$H$2:$H$81,'Raw Data'!$C$2:$C$81,$C4)-MINIFS('Raw Data'!$H$2:$H$81,'Raw Data'!$C$2:$C$81,$C4))*100,50)</f>
        <v/>
      </c>
      <c r="J4" s="6">
        <f>IFERROR(('Raw Data'!J4-MINIFS('Raw Data'!$J$2:$J$81,'Raw Data'!$C$2:$C$81,$C4))/(MAXIFS('Raw Data'!$J$2:$J$81,'Raw Data'!$C$2:$C$81,$C4)-MINIFS('Raw Data'!$J$2:$J$81,'Raw Data'!$C$2:$C$81,$C4))*100,50)</f>
        <v/>
      </c>
    </row>
    <row r="5">
      <c r="A5">
        <f>'Raw Data'!A5</f>
        <v/>
      </c>
      <c r="B5">
        <f>'Raw Data'!B5</f>
        <v/>
      </c>
      <c r="C5">
        <f>'Raw Data'!C5</f>
        <v/>
      </c>
      <c r="D5" s="6">
        <f>IFERROR(('Raw Data'!G5-MINIFS('Raw Data'!$G$2:$G$81,'Raw Data'!$C$2:$C$81,$C5))/(MAXIFS('Raw Data'!$G$2:$G$81,'Raw Data'!$C$2:$C$81,$C5)-MINIFS('Raw Data'!$G$2:$G$81,'Raw Data'!$C$2:$C$81,$C5))*100,50)</f>
        <v/>
      </c>
      <c r="E5" s="6">
        <f>IFERROR(('Raw Data'!E5-MINIFS('Raw Data'!$E$2:$E$81,'Raw Data'!$C$2:$C$81,$C5))/(MAXIFS('Raw Data'!$E$2:$E$81,'Raw Data'!$C$2:$C$81,$C5)-MINIFS('Raw Data'!$E$2:$E$81,'Raw Data'!$C$2:$C$81,$C5))*100,50)</f>
        <v/>
      </c>
      <c r="F5" s="6">
        <f>IFERROR(('Raw Data'!F5-MINIFS('Raw Data'!$F$2:$F$81,'Raw Data'!$C$2:$C$81,$C5))/(MAXIFS('Raw Data'!$F$2:$F$81,'Raw Data'!$C$2:$C$81,$C5)-MINIFS('Raw Data'!$F$2:$F$81,'Raw Data'!$C$2:$C$81,$C5))*100,50)</f>
        <v/>
      </c>
      <c r="G5" s="6">
        <f>IFERROR(('Raw Data'!K5-MINIFS('Raw Data'!$K$2:$K$81,'Raw Data'!$C$2:$C$81,$C5))/(MAXIFS('Raw Data'!$K$2:$K$81,'Raw Data'!$C$2:$C$81,$C5)-MINIFS('Raw Data'!$K$2:$K$81,'Raw Data'!$C$2:$C$81,$C5))*100,50)</f>
        <v/>
      </c>
      <c r="H5" s="6">
        <f>IFERROR(('Raw Data'!I5-MINIFS('Raw Data'!$I$2:$I$81,'Raw Data'!$C$2:$C$81,$C5))/(MAXIFS('Raw Data'!$I$2:$I$81,'Raw Data'!$C$2:$C$81,$C5)-MINIFS('Raw Data'!$I$2:$I$81,'Raw Data'!$C$2:$C$81,$C5))*100,50)</f>
        <v/>
      </c>
      <c r="I5" s="6">
        <f>100-IFERROR(('Raw Data'!H5-MINIFS('Raw Data'!$H$2:$H$81,'Raw Data'!$C$2:$C$81,$C5))/(MAXIFS('Raw Data'!$H$2:$H$81,'Raw Data'!$C$2:$C$81,$C5)-MINIFS('Raw Data'!$H$2:$H$81,'Raw Data'!$C$2:$C$81,$C5))*100,50)</f>
        <v/>
      </c>
      <c r="J5" s="6">
        <f>IFERROR(('Raw Data'!J5-MINIFS('Raw Data'!$J$2:$J$81,'Raw Data'!$C$2:$C$81,$C5))/(MAXIFS('Raw Data'!$J$2:$J$81,'Raw Data'!$C$2:$C$81,$C5)-MINIFS('Raw Data'!$J$2:$J$81,'Raw Data'!$C$2:$C$81,$C5))*100,50)</f>
        <v/>
      </c>
    </row>
    <row r="6">
      <c r="A6">
        <f>'Raw Data'!A6</f>
        <v/>
      </c>
      <c r="B6">
        <f>'Raw Data'!B6</f>
        <v/>
      </c>
      <c r="C6">
        <f>'Raw Data'!C6</f>
        <v/>
      </c>
      <c r="D6" s="6">
        <f>IFERROR(('Raw Data'!G6-MINIFS('Raw Data'!$G$2:$G$81,'Raw Data'!$C$2:$C$81,$C6))/(MAXIFS('Raw Data'!$G$2:$G$81,'Raw Data'!$C$2:$C$81,$C6)-MINIFS('Raw Data'!$G$2:$G$81,'Raw Data'!$C$2:$C$81,$C6))*100,50)</f>
        <v/>
      </c>
      <c r="E6" s="6">
        <f>IFERROR(('Raw Data'!E6-MINIFS('Raw Data'!$E$2:$E$81,'Raw Data'!$C$2:$C$81,$C6))/(MAXIFS('Raw Data'!$E$2:$E$81,'Raw Data'!$C$2:$C$81,$C6)-MINIFS('Raw Data'!$E$2:$E$81,'Raw Data'!$C$2:$C$81,$C6))*100,50)</f>
        <v/>
      </c>
      <c r="F6" s="6">
        <f>IFERROR(('Raw Data'!F6-MINIFS('Raw Data'!$F$2:$F$81,'Raw Data'!$C$2:$C$81,$C6))/(MAXIFS('Raw Data'!$F$2:$F$81,'Raw Data'!$C$2:$C$81,$C6)-MINIFS('Raw Data'!$F$2:$F$81,'Raw Data'!$C$2:$C$81,$C6))*100,50)</f>
        <v/>
      </c>
      <c r="G6" s="6">
        <f>IFERROR(('Raw Data'!K6-MINIFS('Raw Data'!$K$2:$K$81,'Raw Data'!$C$2:$C$81,$C6))/(MAXIFS('Raw Data'!$K$2:$K$81,'Raw Data'!$C$2:$C$81,$C6)-MINIFS('Raw Data'!$K$2:$K$81,'Raw Data'!$C$2:$C$81,$C6))*100,50)</f>
        <v/>
      </c>
      <c r="H6" s="6">
        <f>IFERROR(('Raw Data'!I6-MINIFS('Raw Data'!$I$2:$I$81,'Raw Data'!$C$2:$C$81,$C6))/(MAXIFS('Raw Data'!$I$2:$I$81,'Raw Data'!$C$2:$C$81,$C6)-MINIFS('Raw Data'!$I$2:$I$81,'Raw Data'!$C$2:$C$81,$C6))*100,50)</f>
        <v/>
      </c>
      <c r="I6" s="6">
        <f>100-IFERROR(('Raw Data'!H6-MINIFS('Raw Data'!$H$2:$H$81,'Raw Data'!$C$2:$C$81,$C6))/(MAXIFS('Raw Data'!$H$2:$H$81,'Raw Data'!$C$2:$C$81,$C6)-MINIFS('Raw Data'!$H$2:$H$81,'Raw Data'!$C$2:$C$81,$C6))*100,50)</f>
        <v/>
      </c>
      <c r="J6" s="6">
        <f>IFERROR(('Raw Data'!J6-MINIFS('Raw Data'!$J$2:$J$81,'Raw Data'!$C$2:$C$81,$C6))/(MAXIFS('Raw Data'!$J$2:$J$81,'Raw Data'!$C$2:$C$81,$C6)-MINIFS('Raw Data'!$J$2:$J$81,'Raw Data'!$C$2:$C$81,$C6))*100,50)</f>
        <v/>
      </c>
    </row>
    <row r="7">
      <c r="A7">
        <f>'Raw Data'!A7</f>
        <v/>
      </c>
      <c r="B7">
        <f>'Raw Data'!B7</f>
        <v/>
      </c>
      <c r="C7">
        <f>'Raw Data'!C7</f>
        <v/>
      </c>
      <c r="D7" s="6">
        <f>IFERROR(('Raw Data'!G7-MINIFS('Raw Data'!$G$2:$G$81,'Raw Data'!$C$2:$C$81,$C7))/(MAXIFS('Raw Data'!$G$2:$G$81,'Raw Data'!$C$2:$C$81,$C7)-MINIFS('Raw Data'!$G$2:$G$81,'Raw Data'!$C$2:$C$81,$C7))*100,50)</f>
        <v/>
      </c>
      <c r="E7" s="6">
        <f>IFERROR(('Raw Data'!E7-MINIFS('Raw Data'!$E$2:$E$81,'Raw Data'!$C$2:$C$81,$C7))/(MAXIFS('Raw Data'!$E$2:$E$81,'Raw Data'!$C$2:$C$81,$C7)-MINIFS('Raw Data'!$E$2:$E$81,'Raw Data'!$C$2:$C$81,$C7))*100,50)</f>
        <v/>
      </c>
      <c r="F7" s="6">
        <f>IFERROR(('Raw Data'!F7-MINIFS('Raw Data'!$F$2:$F$81,'Raw Data'!$C$2:$C$81,$C7))/(MAXIFS('Raw Data'!$F$2:$F$81,'Raw Data'!$C$2:$C$81,$C7)-MINIFS('Raw Data'!$F$2:$F$81,'Raw Data'!$C$2:$C$81,$C7))*100,50)</f>
        <v/>
      </c>
      <c r="G7" s="6">
        <f>IFERROR(('Raw Data'!K7-MINIFS('Raw Data'!$K$2:$K$81,'Raw Data'!$C$2:$C$81,$C7))/(MAXIFS('Raw Data'!$K$2:$K$81,'Raw Data'!$C$2:$C$81,$C7)-MINIFS('Raw Data'!$K$2:$K$81,'Raw Data'!$C$2:$C$81,$C7))*100,50)</f>
        <v/>
      </c>
      <c r="H7" s="6">
        <f>IFERROR(('Raw Data'!I7-MINIFS('Raw Data'!$I$2:$I$81,'Raw Data'!$C$2:$C$81,$C7))/(MAXIFS('Raw Data'!$I$2:$I$81,'Raw Data'!$C$2:$C$81,$C7)-MINIFS('Raw Data'!$I$2:$I$81,'Raw Data'!$C$2:$C$81,$C7))*100,50)</f>
        <v/>
      </c>
      <c r="I7" s="6">
        <f>100-IFERROR(('Raw Data'!H7-MINIFS('Raw Data'!$H$2:$H$81,'Raw Data'!$C$2:$C$81,$C7))/(MAXIFS('Raw Data'!$H$2:$H$81,'Raw Data'!$C$2:$C$81,$C7)-MINIFS('Raw Data'!$H$2:$H$81,'Raw Data'!$C$2:$C$81,$C7))*100,50)</f>
        <v/>
      </c>
      <c r="J7" s="6">
        <f>IFERROR(('Raw Data'!J7-MINIFS('Raw Data'!$J$2:$J$81,'Raw Data'!$C$2:$C$81,$C7))/(MAXIFS('Raw Data'!$J$2:$J$81,'Raw Data'!$C$2:$C$81,$C7)-MINIFS('Raw Data'!$J$2:$J$81,'Raw Data'!$C$2:$C$81,$C7))*100,50)</f>
        <v/>
      </c>
    </row>
    <row r="8">
      <c r="A8">
        <f>'Raw Data'!A8</f>
        <v/>
      </c>
      <c r="B8">
        <f>'Raw Data'!B8</f>
        <v/>
      </c>
      <c r="C8">
        <f>'Raw Data'!C8</f>
        <v/>
      </c>
      <c r="D8" s="6">
        <f>IFERROR(('Raw Data'!G8-MINIFS('Raw Data'!$G$2:$G$81,'Raw Data'!$C$2:$C$81,$C8))/(MAXIFS('Raw Data'!$G$2:$G$81,'Raw Data'!$C$2:$C$81,$C8)-MINIFS('Raw Data'!$G$2:$G$81,'Raw Data'!$C$2:$C$81,$C8))*100,50)</f>
        <v/>
      </c>
      <c r="E8" s="6">
        <f>IFERROR(('Raw Data'!E8-MINIFS('Raw Data'!$E$2:$E$81,'Raw Data'!$C$2:$C$81,$C8))/(MAXIFS('Raw Data'!$E$2:$E$81,'Raw Data'!$C$2:$C$81,$C8)-MINIFS('Raw Data'!$E$2:$E$81,'Raw Data'!$C$2:$C$81,$C8))*100,50)</f>
        <v/>
      </c>
      <c r="F8" s="6">
        <f>IFERROR(('Raw Data'!F8-MINIFS('Raw Data'!$F$2:$F$81,'Raw Data'!$C$2:$C$81,$C8))/(MAXIFS('Raw Data'!$F$2:$F$81,'Raw Data'!$C$2:$C$81,$C8)-MINIFS('Raw Data'!$F$2:$F$81,'Raw Data'!$C$2:$C$81,$C8))*100,50)</f>
        <v/>
      </c>
      <c r="G8" s="6">
        <f>IFERROR(('Raw Data'!K8-MINIFS('Raw Data'!$K$2:$K$81,'Raw Data'!$C$2:$C$81,$C8))/(MAXIFS('Raw Data'!$K$2:$K$81,'Raw Data'!$C$2:$C$81,$C8)-MINIFS('Raw Data'!$K$2:$K$81,'Raw Data'!$C$2:$C$81,$C8))*100,50)</f>
        <v/>
      </c>
      <c r="H8" s="6">
        <f>IFERROR(('Raw Data'!I8-MINIFS('Raw Data'!$I$2:$I$81,'Raw Data'!$C$2:$C$81,$C8))/(MAXIFS('Raw Data'!$I$2:$I$81,'Raw Data'!$C$2:$C$81,$C8)-MINIFS('Raw Data'!$I$2:$I$81,'Raw Data'!$C$2:$C$81,$C8))*100,50)</f>
        <v/>
      </c>
      <c r="I8" s="6">
        <f>100-IFERROR(('Raw Data'!H8-MINIFS('Raw Data'!$H$2:$H$81,'Raw Data'!$C$2:$C$81,$C8))/(MAXIFS('Raw Data'!$H$2:$H$81,'Raw Data'!$C$2:$C$81,$C8)-MINIFS('Raw Data'!$H$2:$H$81,'Raw Data'!$C$2:$C$81,$C8))*100,50)</f>
        <v/>
      </c>
      <c r="J8" s="6">
        <f>IFERROR(('Raw Data'!J8-MINIFS('Raw Data'!$J$2:$J$81,'Raw Data'!$C$2:$C$81,$C8))/(MAXIFS('Raw Data'!$J$2:$J$81,'Raw Data'!$C$2:$C$81,$C8)-MINIFS('Raw Data'!$J$2:$J$81,'Raw Data'!$C$2:$C$81,$C8))*100,50)</f>
        <v/>
      </c>
    </row>
    <row r="9">
      <c r="A9">
        <f>'Raw Data'!A9</f>
        <v/>
      </c>
      <c r="B9">
        <f>'Raw Data'!B9</f>
        <v/>
      </c>
      <c r="C9">
        <f>'Raw Data'!C9</f>
        <v/>
      </c>
      <c r="D9" s="6">
        <f>IFERROR(('Raw Data'!G9-MINIFS('Raw Data'!$G$2:$G$81,'Raw Data'!$C$2:$C$81,$C9))/(MAXIFS('Raw Data'!$G$2:$G$81,'Raw Data'!$C$2:$C$81,$C9)-MINIFS('Raw Data'!$G$2:$G$81,'Raw Data'!$C$2:$C$81,$C9))*100,50)</f>
        <v/>
      </c>
      <c r="E9" s="6">
        <f>IFERROR(('Raw Data'!E9-MINIFS('Raw Data'!$E$2:$E$81,'Raw Data'!$C$2:$C$81,$C9))/(MAXIFS('Raw Data'!$E$2:$E$81,'Raw Data'!$C$2:$C$81,$C9)-MINIFS('Raw Data'!$E$2:$E$81,'Raw Data'!$C$2:$C$81,$C9))*100,50)</f>
        <v/>
      </c>
      <c r="F9" s="6">
        <f>IFERROR(('Raw Data'!F9-MINIFS('Raw Data'!$F$2:$F$81,'Raw Data'!$C$2:$C$81,$C9))/(MAXIFS('Raw Data'!$F$2:$F$81,'Raw Data'!$C$2:$C$81,$C9)-MINIFS('Raw Data'!$F$2:$F$81,'Raw Data'!$C$2:$C$81,$C9))*100,50)</f>
        <v/>
      </c>
      <c r="G9" s="6">
        <f>IFERROR(('Raw Data'!K9-MINIFS('Raw Data'!$K$2:$K$81,'Raw Data'!$C$2:$C$81,$C9))/(MAXIFS('Raw Data'!$K$2:$K$81,'Raw Data'!$C$2:$C$81,$C9)-MINIFS('Raw Data'!$K$2:$K$81,'Raw Data'!$C$2:$C$81,$C9))*100,50)</f>
        <v/>
      </c>
      <c r="H9" s="6">
        <f>IFERROR(('Raw Data'!I9-MINIFS('Raw Data'!$I$2:$I$81,'Raw Data'!$C$2:$C$81,$C9))/(MAXIFS('Raw Data'!$I$2:$I$81,'Raw Data'!$C$2:$C$81,$C9)-MINIFS('Raw Data'!$I$2:$I$81,'Raw Data'!$C$2:$C$81,$C9))*100,50)</f>
        <v/>
      </c>
      <c r="I9" s="6">
        <f>100-IFERROR(('Raw Data'!H9-MINIFS('Raw Data'!$H$2:$H$81,'Raw Data'!$C$2:$C$81,$C9))/(MAXIFS('Raw Data'!$H$2:$H$81,'Raw Data'!$C$2:$C$81,$C9)-MINIFS('Raw Data'!$H$2:$H$81,'Raw Data'!$C$2:$C$81,$C9))*100,50)</f>
        <v/>
      </c>
      <c r="J9" s="6">
        <f>IFERROR(('Raw Data'!J9-MINIFS('Raw Data'!$J$2:$J$81,'Raw Data'!$C$2:$C$81,$C9))/(MAXIFS('Raw Data'!$J$2:$J$81,'Raw Data'!$C$2:$C$81,$C9)-MINIFS('Raw Data'!$J$2:$J$81,'Raw Data'!$C$2:$C$81,$C9))*100,50)</f>
        <v/>
      </c>
    </row>
    <row r="10">
      <c r="A10">
        <f>'Raw Data'!A10</f>
        <v/>
      </c>
      <c r="B10">
        <f>'Raw Data'!B10</f>
        <v/>
      </c>
      <c r="C10">
        <f>'Raw Data'!C10</f>
        <v/>
      </c>
      <c r="D10" s="6">
        <f>IFERROR(('Raw Data'!G10-MINIFS('Raw Data'!$G$2:$G$81,'Raw Data'!$C$2:$C$81,$C10))/(MAXIFS('Raw Data'!$G$2:$G$81,'Raw Data'!$C$2:$C$81,$C10)-MINIFS('Raw Data'!$G$2:$G$81,'Raw Data'!$C$2:$C$81,$C10))*100,50)</f>
        <v/>
      </c>
      <c r="E10" s="6">
        <f>IFERROR(('Raw Data'!E10-MINIFS('Raw Data'!$E$2:$E$81,'Raw Data'!$C$2:$C$81,$C10))/(MAXIFS('Raw Data'!$E$2:$E$81,'Raw Data'!$C$2:$C$81,$C10)-MINIFS('Raw Data'!$E$2:$E$81,'Raw Data'!$C$2:$C$81,$C10))*100,50)</f>
        <v/>
      </c>
      <c r="F10" s="6">
        <f>IFERROR(('Raw Data'!F10-MINIFS('Raw Data'!$F$2:$F$81,'Raw Data'!$C$2:$C$81,$C10))/(MAXIFS('Raw Data'!$F$2:$F$81,'Raw Data'!$C$2:$C$81,$C10)-MINIFS('Raw Data'!$F$2:$F$81,'Raw Data'!$C$2:$C$81,$C10))*100,50)</f>
        <v/>
      </c>
      <c r="G10" s="6">
        <f>IFERROR(('Raw Data'!K10-MINIFS('Raw Data'!$K$2:$K$81,'Raw Data'!$C$2:$C$81,$C10))/(MAXIFS('Raw Data'!$K$2:$K$81,'Raw Data'!$C$2:$C$81,$C10)-MINIFS('Raw Data'!$K$2:$K$81,'Raw Data'!$C$2:$C$81,$C10))*100,50)</f>
        <v/>
      </c>
      <c r="H10" s="6">
        <f>IFERROR(('Raw Data'!I10-MINIFS('Raw Data'!$I$2:$I$81,'Raw Data'!$C$2:$C$81,$C10))/(MAXIFS('Raw Data'!$I$2:$I$81,'Raw Data'!$C$2:$C$81,$C10)-MINIFS('Raw Data'!$I$2:$I$81,'Raw Data'!$C$2:$C$81,$C10))*100,50)</f>
        <v/>
      </c>
      <c r="I10" s="6">
        <f>100-IFERROR(('Raw Data'!H10-MINIFS('Raw Data'!$H$2:$H$81,'Raw Data'!$C$2:$C$81,$C10))/(MAXIFS('Raw Data'!$H$2:$H$81,'Raw Data'!$C$2:$C$81,$C10)-MINIFS('Raw Data'!$H$2:$H$81,'Raw Data'!$C$2:$C$81,$C10))*100,50)</f>
        <v/>
      </c>
      <c r="J10" s="6">
        <f>IFERROR(('Raw Data'!J10-MINIFS('Raw Data'!$J$2:$J$81,'Raw Data'!$C$2:$C$81,$C10))/(MAXIFS('Raw Data'!$J$2:$J$81,'Raw Data'!$C$2:$C$81,$C10)-MINIFS('Raw Data'!$J$2:$J$81,'Raw Data'!$C$2:$C$81,$C10))*100,50)</f>
        <v/>
      </c>
    </row>
    <row r="11">
      <c r="A11">
        <f>'Raw Data'!A11</f>
        <v/>
      </c>
      <c r="B11">
        <f>'Raw Data'!B11</f>
        <v/>
      </c>
      <c r="C11">
        <f>'Raw Data'!C11</f>
        <v/>
      </c>
      <c r="D11" s="6">
        <f>IFERROR(('Raw Data'!G11-MINIFS('Raw Data'!$G$2:$G$81,'Raw Data'!$C$2:$C$81,$C11))/(MAXIFS('Raw Data'!$G$2:$G$81,'Raw Data'!$C$2:$C$81,$C11)-MINIFS('Raw Data'!$G$2:$G$81,'Raw Data'!$C$2:$C$81,$C11))*100,50)</f>
        <v/>
      </c>
      <c r="E11" s="6">
        <f>IFERROR(('Raw Data'!E11-MINIFS('Raw Data'!$E$2:$E$81,'Raw Data'!$C$2:$C$81,$C11))/(MAXIFS('Raw Data'!$E$2:$E$81,'Raw Data'!$C$2:$C$81,$C11)-MINIFS('Raw Data'!$E$2:$E$81,'Raw Data'!$C$2:$C$81,$C11))*100,50)</f>
        <v/>
      </c>
      <c r="F11" s="6">
        <f>IFERROR(('Raw Data'!F11-MINIFS('Raw Data'!$F$2:$F$81,'Raw Data'!$C$2:$C$81,$C11))/(MAXIFS('Raw Data'!$F$2:$F$81,'Raw Data'!$C$2:$C$81,$C11)-MINIFS('Raw Data'!$F$2:$F$81,'Raw Data'!$C$2:$C$81,$C11))*100,50)</f>
        <v/>
      </c>
      <c r="G11" s="6">
        <f>IFERROR(('Raw Data'!K11-MINIFS('Raw Data'!$K$2:$K$81,'Raw Data'!$C$2:$C$81,$C11))/(MAXIFS('Raw Data'!$K$2:$K$81,'Raw Data'!$C$2:$C$81,$C11)-MINIFS('Raw Data'!$K$2:$K$81,'Raw Data'!$C$2:$C$81,$C11))*100,50)</f>
        <v/>
      </c>
      <c r="H11" s="6">
        <f>IFERROR(('Raw Data'!I11-MINIFS('Raw Data'!$I$2:$I$81,'Raw Data'!$C$2:$C$81,$C11))/(MAXIFS('Raw Data'!$I$2:$I$81,'Raw Data'!$C$2:$C$81,$C11)-MINIFS('Raw Data'!$I$2:$I$81,'Raw Data'!$C$2:$C$81,$C11))*100,50)</f>
        <v/>
      </c>
      <c r="I11" s="6">
        <f>100-IFERROR(('Raw Data'!H11-MINIFS('Raw Data'!$H$2:$H$81,'Raw Data'!$C$2:$C$81,$C11))/(MAXIFS('Raw Data'!$H$2:$H$81,'Raw Data'!$C$2:$C$81,$C11)-MINIFS('Raw Data'!$H$2:$H$81,'Raw Data'!$C$2:$C$81,$C11))*100,50)</f>
        <v/>
      </c>
      <c r="J11" s="6">
        <f>IFERROR(('Raw Data'!J11-MINIFS('Raw Data'!$J$2:$J$81,'Raw Data'!$C$2:$C$81,$C11))/(MAXIFS('Raw Data'!$J$2:$J$81,'Raw Data'!$C$2:$C$81,$C11)-MINIFS('Raw Data'!$J$2:$J$81,'Raw Data'!$C$2:$C$81,$C11))*100,50)</f>
        <v/>
      </c>
    </row>
    <row r="12">
      <c r="A12">
        <f>'Raw Data'!A12</f>
        <v/>
      </c>
      <c r="B12">
        <f>'Raw Data'!B12</f>
        <v/>
      </c>
      <c r="C12">
        <f>'Raw Data'!C12</f>
        <v/>
      </c>
      <c r="D12" s="6">
        <f>IFERROR(('Raw Data'!G12-MINIFS('Raw Data'!$G$2:$G$81,'Raw Data'!$C$2:$C$81,$C12))/(MAXIFS('Raw Data'!$G$2:$G$81,'Raw Data'!$C$2:$C$81,$C12)-MINIFS('Raw Data'!$G$2:$G$81,'Raw Data'!$C$2:$C$81,$C12))*100,50)</f>
        <v/>
      </c>
      <c r="E12" s="6">
        <f>IFERROR(('Raw Data'!E12-MINIFS('Raw Data'!$E$2:$E$81,'Raw Data'!$C$2:$C$81,$C12))/(MAXIFS('Raw Data'!$E$2:$E$81,'Raw Data'!$C$2:$C$81,$C12)-MINIFS('Raw Data'!$E$2:$E$81,'Raw Data'!$C$2:$C$81,$C12))*100,50)</f>
        <v/>
      </c>
      <c r="F12" s="6">
        <f>IFERROR(('Raw Data'!F12-MINIFS('Raw Data'!$F$2:$F$81,'Raw Data'!$C$2:$C$81,$C12))/(MAXIFS('Raw Data'!$F$2:$F$81,'Raw Data'!$C$2:$C$81,$C12)-MINIFS('Raw Data'!$F$2:$F$81,'Raw Data'!$C$2:$C$81,$C12))*100,50)</f>
        <v/>
      </c>
      <c r="G12" s="6">
        <f>IFERROR(('Raw Data'!K12-MINIFS('Raw Data'!$K$2:$K$81,'Raw Data'!$C$2:$C$81,$C12))/(MAXIFS('Raw Data'!$K$2:$K$81,'Raw Data'!$C$2:$C$81,$C12)-MINIFS('Raw Data'!$K$2:$K$81,'Raw Data'!$C$2:$C$81,$C12))*100,50)</f>
        <v/>
      </c>
      <c r="H12" s="6">
        <f>IFERROR(('Raw Data'!I12-MINIFS('Raw Data'!$I$2:$I$81,'Raw Data'!$C$2:$C$81,$C12))/(MAXIFS('Raw Data'!$I$2:$I$81,'Raw Data'!$C$2:$C$81,$C12)-MINIFS('Raw Data'!$I$2:$I$81,'Raw Data'!$C$2:$C$81,$C12))*100,50)</f>
        <v/>
      </c>
      <c r="I12" s="6">
        <f>100-IFERROR(('Raw Data'!H12-MINIFS('Raw Data'!$H$2:$H$81,'Raw Data'!$C$2:$C$81,$C12))/(MAXIFS('Raw Data'!$H$2:$H$81,'Raw Data'!$C$2:$C$81,$C12)-MINIFS('Raw Data'!$H$2:$H$81,'Raw Data'!$C$2:$C$81,$C12))*100,50)</f>
        <v/>
      </c>
      <c r="J12" s="6">
        <f>IFERROR(('Raw Data'!J12-MINIFS('Raw Data'!$J$2:$J$81,'Raw Data'!$C$2:$C$81,$C12))/(MAXIFS('Raw Data'!$J$2:$J$81,'Raw Data'!$C$2:$C$81,$C12)-MINIFS('Raw Data'!$J$2:$J$81,'Raw Data'!$C$2:$C$81,$C12))*100,50)</f>
        <v/>
      </c>
    </row>
    <row r="13">
      <c r="A13">
        <f>'Raw Data'!A13</f>
        <v/>
      </c>
      <c r="B13">
        <f>'Raw Data'!B13</f>
        <v/>
      </c>
      <c r="C13">
        <f>'Raw Data'!C13</f>
        <v/>
      </c>
      <c r="D13" s="6">
        <f>IFERROR(('Raw Data'!G13-MINIFS('Raw Data'!$G$2:$G$81,'Raw Data'!$C$2:$C$81,$C13))/(MAXIFS('Raw Data'!$G$2:$G$81,'Raw Data'!$C$2:$C$81,$C13)-MINIFS('Raw Data'!$G$2:$G$81,'Raw Data'!$C$2:$C$81,$C13))*100,50)</f>
        <v/>
      </c>
      <c r="E13" s="6">
        <f>IFERROR(('Raw Data'!E13-MINIFS('Raw Data'!$E$2:$E$81,'Raw Data'!$C$2:$C$81,$C13))/(MAXIFS('Raw Data'!$E$2:$E$81,'Raw Data'!$C$2:$C$81,$C13)-MINIFS('Raw Data'!$E$2:$E$81,'Raw Data'!$C$2:$C$81,$C13))*100,50)</f>
        <v/>
      </c>
      <c r="F13" s="6">
        <f>IFERROR(('Raw Data'!F13-MINIFS('Raw Data'!$F$2:$F$81,'Raw Data'!$C$2:$C$81,$C13))/(MAXIFS('Raw Data'!$F$2:$F$81,'Raw Data'!$C$2:$C$81,$C13)-MINIFS('Raw Data'!$F$2:$F$81,'Raw Data'!$C$2:$C$81,$C13))*100,50)</f>
        <v/>
      </c>
      <c r="G13" s="6">
        <f>IFERROR(('Raw Data'!K13-MINIFS('Raw Data'!$K$2:$K$81,'Raw Data'!$C$2:$C$81,$C13))/(MAXIFS('Raw Data'!$K$2:$K$81,'Raw Data'!$C$2:$C$81,$C13)-MINIFS('Raw Data'!$K$2:$K$81,'Raw Data'!$C$2:$C$81,$C13))*100,50)</f>
        <v/>
      </c>
      <c r="H13" s="6">
        <f>IFERROR(('Raw Data'!I13-MINIFS('Raw Data'!$I$2:$I$81,'Raw Data'!$C$2:$C$81,$C13))/(MAXIFS('Raw Data'!$I$2:$I$81,'Raw Data'!$C$2:$C$81,$C13)-MINIFS('Raw Data'!$I$2:$I$81,'Raw Data'!$C$2:$C$81,$C13))*100,50)</f>
        <v/>
      </c>
      <c r="I13" s="6">
        <f>100-IFERROR(('Raw Data'!H13-MINIFS('Raw Data'!$H$2:$H$81,'Raw Data'!$C$2:$C$81,$C13))/(MAXIFS('Raw Data'!$H$2:$H$81,'Raw Data'!$C$2:$C$81,$C13)-MINIFS('Raw Data'!$H$2:$H$81,'Raw Data'!$C$2:$C$81,$C13))*100,50)</f>
        <v/>
      </c>
      <c r="J13" s="6">
        <f>IFERROR(('Raw Data'!J13-MINIFS('Raw Data'!$J$2:$J$81,'Raw Data'!$C$2:$C$81,$C13))/(MAXIFS('Raw Data'!$J$2:$J$81,'Raw Data'!$C$2:$C$81,$C13)-MINIFS('Raw Data'!$J$2:$J$81,'Raw Data'!$C$2:$C$81,$C13))*100,50)</f>
        <v/>
      </c>
    </row>
    <row r="14">
      <c r="A14">
        <f>'Raw Data'!A14</f>
        <v/>
      </c>
      <c r="B14">
        <f>'Raw Data'!B14</f>
        <v/>
      </c>
      <c r="C14">
        <f>'Raw Data'!C14</f>
        <v/>
      </c>
      <c r="D14" s="6">
        <f>IFERROR(('Raw Data'!G14-MINIFS('Raw Data'!$G$2:$G$81,'Raw Data'!$C$2:$C$81,$C14))/(MAXIFS('Raw Data'!$G$2:$G$81,'Raw Data'!$C$2:$C$81,$C14)-MINIFS('Raw Data'!$G$2:$G$81,'Raw Data'!$C$2:$C$81,$C14))*100,50)</f>
        <v/>
      </c>
      <c r="E14" s="6">
        <f>IFERROR(('Raw Data'!E14-MINIFS('Raw Data'!$E$2:$E$81,'Raw Data'!$C$2:$C$81,$C14))/(MAXIFS('Raw Data'!$E$2:$E$81,'Raw Data'!$C$2:$C$81,$C14)-MINIFS('Raw Data'!$E$2:$E$81,'Raw Data'!$C$2:$C$81,$C14))*100,50)</f>
        <v/>
      </c>
      <c r="F14" s="6">
        <f>IFERROR(('Raw Data'!F14-MINIFS('Raw Data'!$F$2:$F$81,'Raw Data'!$C$2:$C$81,$C14))/(MAXIFS('Raw Data'!$F$2:$F$81,'Raw Data'!$C$2:$C$81,$C14)-MINIFS('Raw Data'!$F$2:$F$81,'Raw Data'!$C$2:$C$81,$C14))*100,50)</f>
        <v/>
      </c>
      <c r="G14" s="6">
        <f>IFERROR(('Raw Data'!K14-MINIFS('Raw Data'!$K$2:$K$81,'Raw Data'!$C$2:$C$81,$C14))/(MAXIFS('Raw Data'!$K$2:$K$81,'Raw Data'!$C$2:$C$81,$C14)-MINIFS('Raw Data'!$K$2:$K$81,'Raw Data'!$C$2:$C$81,$C14))*100,50)</f>
        <v/>
      </c>
      <c r="H14" s="6">
        <f>IFERROR(('Raw Data'!I14-MINIFS('Raw Data'!$I$2:$I$81,'Raw Data'!$C$2:$C$81,$C14))/(MAXIFS('Raw Data'!$I$2:$I$81,'Raw Data'!$C$2:$C$81,$C14)-MINIFS('Raw Data'!$I$2:$I$81,'Raw Data'!$C$2:$C$81,$C14))*100,50)</f>
        <v/>
      </c>
      <c r="I14" s="6">
        <f>100-IFERROR(('Raw Data'!H14-MINIFS('Raw Data'!$H$2:$H$81,'Raw Data'!$C$2:$C$81,$C14))/(MAXIFS('Raw Data'!$H$2:$H$81,'Raw Data'!$C$2:$C$81,$C14)-MINIFS('Raw Data'!$H$2:$H$81,'Raw Data'!$C$2:$C$81,$C14))*100,50)</f>
        <v/>
      </c>
      <c r="J14" s="6">
        <f>IFERROR(('Raw Data'!J14-MINIFS('Raw Data'!$J$2:$J$81,'Raw Data'!$C$2:$C$81,$C14))/(MAXIFS('Raw Data'!$J$2:$J$81,'Raw Data'!$C$2:$C$81,$C14)-MINIFS('Raw Data'!$J$2:$J$81,'Raw Data'!$C$2:$C$81,$C14))*100,50)</f>
        <v/>
      </c>
    </row>
    <row r="15">
      <c r="A15">
        <f>'Raw Data'!A15</f>
        <v/>
      </c>
      <c r="B15">
        <f>'Raw Data'!B15</f>
        <v/>
      </c>
      <c r="C15">
        <f>'Raw Data'!C15</f>
        <v/>
      </c>
      <c r="D15" s="6">
        <f>IFERROR(('Raw Data'!G15-MINIFS('Raw Data'!$G$2:$G$81,'Raw Data'!$C$2:$C$81,$C15))/(MAXIFS('Raw Data'!$G$2:$G$81,'Raw Data'!$C$2:$C$81,$C15)-MINIFS('Raw Data'!$G$2:$G$81,'Raw Data'!$C$2:$C$81,$C15))*100,50)</f>
        <v/>
      </c>
      <c r="E15" s="6">
        <f>IFERROR(('Raw Data'!E15-MINIFS('Raw Data'!$E$2:$E$81,'Raw Data'!$C$2:$C$81,$C15))/(MAXIFS('Raw Data'!$E$2:$E$81,'Raw Data'!$C$2:$C$81,$C15)-MINIFS('Raw Data'!$E$2:$E$81,'Raw Data'!$C$2:$C$81,$C15))*100,50)</f>
        <v/>
      </c>
      <c r="F15" s="6">
        <f>IFERROR(('Raw Data'!F15-MINIFS('Raw Data'!$F$2:$F$81,'Raw Data'!$C$2:$C$81,$C15))/(MAXIFS('Raw Data'!$F$2:$F$81,'Raw Data'!$C$2:$C$81,$C15)-MINIFS('Raw Data'!$F$2:$F$81,'Raw Data'!$C$2:$C$81,$C15))*100,50)</f>
        <v/>
      </c>
      <c r="G15" s="6">
        <f>IFERROR(('Raw Data'!K15-MINIFS('Raw Data'!$K$2:$K$81,'Raw Data'!$C$2:$C$81,$C15))/(MAXIFS('Raw Data'!$K$2:$K$81,'Raw Data'!$C$2:$C$81,$C15)-MINIFS('Raw Data'!$K$2:$K$81,'Raw Data'!$C$2:$C$81,$C15))*100,50)</f>
        <v/>
      </c>
      <c r="H15" s="6">
        <f>IFERROR(('Raw Data'!I15-MINIFS('Raw Data'!$I$2:$I$81,'Raw Data'!$C$2:$C$81,$C15))/(MAXIFS('Raw Data'!$I$2:$I$81,'Raw Data'!$C$2:$C$81,$C15)-MINIFS('Raw Data'!$I$2:$I$81,'Raw Data'!$C$2:$C$81,$C15))*100,50)</f>
        <v/>
      </c>
      <c r="I15" s="6">
        <f>100-IFERROR(('Raw Data'!H15-MINIFS('Raw Data'!$H$2:$H$81,'Raw Data'!$C$2:$C$81,$C15))/(MAXIFS('Raw Data'!$H$2:$H$81,'Raw Data'!$C$2:$C$81,$C15)-MINIFS('Raw Data'!$H$2:$H$81,'Raw Data'!$C$2:$C$81,$C15))*100,50)</f>
        <v/>
      </c>
      <c r="J15" s="6">
        <f>IFERROR(('Raw Data'!J15-MINIFS('Raw Data'!$J$2:$J$81,'Raw Data'!$C$2:$C$81,$C15))/(MAXIFS('Raw Data'!$J$2:$J$81,'Raw Data'!$C$2:$C$81,$C15)-MINIFS('Raw Data'!$J$2:$J$81,'Raw Data'!$C$2:$C$81,$C15))*100,50)</f>
        <v/>
      </c>
    </row>
    <row r="16">
      <c r="A16">
        <f>'Raw Data'!A16</f>
        <v/>
      </c>
      <c r="B16">
        <f>'Raw Data'!B16</f>
        <v/>
      </c>
      <c r="C16">
        <f>'Raw Data'!C16</f>
        <v/>
      </c>
      <c r="D16" s="6">
        <f>IFERROR(('Raw Data'!G16-MINIFS('Raw Data'!$G$2:$G$81,'Raw Data'!$C$2:$C$81,$C16))/(MAXIFS('Raw Data'!$G$2:$G$81,'Raw Data'!$C$2:$C$81,$C16)-MINIFS('Raw Data'!$G$2:$G$81,'Raw Data'!$C$2:$C$81,$C16))*100,50)</f>
        <v/>
      </c>
      <c r="E16" s="6">
        <f>IFERROR(('Raw Data'!E16-MINIFS('Raw Data'!$E$2:$E$81,'Raw Data'!$C$2:$C$81,$C16))/(MAXIFS('Raw Data'!$E$2:$E$81,'Raw Data'!$C$2:$C$81,$C16)-MINIFS('Raw Data'!$E$2:$E$81,'Raw Data'!$C$2:$C$81,$C16))*100,50)</f>
        <v/>
      </c>
      <c r="F16" s="6">
        <f>IFERROR(('Raw Data'!F16-MINIFS('Raw Data'!$F$2:$F$81,'Raw Data'!$C$2:$C$81,$C16))/(MAXIFS('Raw Data'!$F$2:$F$81,'Raw Data'!$C$2:$C$81,$C16)-MINIFS('Raw Data'!$F$2:$F$81,'Raw Data'!$C$2:$C$81,$C16))*100,50)</f>
        <v/>
      </c>
      <c r="G16" s="6">
        <f>IFERROR(('Raw Data'!K16-MINIFS('Raw Data'!$K$2:$K$81,'Raw Data'!$C$2:$C$81,$C16))/(MAXIFS('Raw Data'!$K$2:$K$81,'Raw Data'!$C$2:$C$81,$C16)-MINIFS('Raw Data'!$K$2:$K$81,'Raw Data'!$C$2:$C$81,$C16))*100,50)</f>
        <v/>
      </c>
      <c r="H16" s="6">
        <f>IFERROR(('Raw Data'!I16-MINIFS('Raw Data'!$I$2:$I$81,'Raw Data'!$C$2:$C$81,$C16))/(MAXIFS('Raw Data'!$I$2:$I$81,'Raw Data'!$C$2:$C$81,$C16)-MINIFS('Raw Data'!$I$2:$I$81,'Raw Data'!$C$2:$C$81,$C16))*100,50)</f>
        <v/>
      </c>
      <c r="I16" s="6">
        <f>100-IFERROR(('Raw Data'!H16-MINIFS('Raw Data'!$H$2:$H$81,'Raw Data'!$C$2:$C$81,$C16))/(MAXIFS('Raw Data'!$H$2:$H$81,'Raw Data'!$C$2:$C$81,$C16)-MINIFS('Raw Data'!$H$2:$H$81,'Raw Data'!$C$2:$C$81,$C16))*100,50)</f>
        <v/>
      </c>
      <c r="J16" s="6">
        <f>IFERROR(('Raw Data'!J16-MINIFS('Raw Data'!$J$2:$J$81,'Raw Data'!$C$2:$C$81,$C16))/(MAXIFS('Raw Data'!$J$2:$J$81,'Raw Data'!$C$2:$C$81,$C16)-MINIFS('Raw Data'!$J$2:$J$81,'Raw Data'!$C$2:$C$81,$C16))*100,50)</f>
        <v/>
      </c>
    </row>
    <row r="17">
      <c r="A17">
        <f>'Raw Data'!A17</f>
        <v/>
      </c>
      <c r="B17">
        <f>'Raw Data'!B17</f>
        <v/>
      </c>
      <c r="C17">
        <f>'Raw Data'!C17</f>
        <v/>
      </c>
      <c r="D17" s="6">
        <f>IFERROR(('Raw Data'!G17-MINIFS('Raw Data'!$G$2:$G$81,'Raw Data'!$C$2:$C$81,$C17))/(MAXIFS('Raw Data'!$G$2:$G$81,'Raw Data'!$C$2:$C$81,$C17)-MINIFS('Raw Data'!$G$2:$G$81,'Raw Data'!$C$2:$C$81,$C17))*100,50)</f>
        <v/>
      </c>
      <c r="E17" s="6">
        <f>IFERROR(('Raw Data'!E17-MINIFS('Raw Data'!$E$2:$E$81,'Raw Data'!$C$2:$C$81,$C17))/(MAXIFS('Raw Data'!$E$2:$E$81,'Raw Data'!$C$2:$C$81,$C17)-MINIFS('Raw Data'!$E$2:$E$81,'Raw Data'!$C$2:$C$81,$C17))*100,50)</f>
        <v/>
      </c>
      <c r="F17" s="6">
        <f>IFERROR(('Raw Data'!F17-MINIFS('Raw Data'!$F$2:$F$81,'Raw Data'!$C$2:$C$81,$C17))/(MAXIFS('Raw Data'!$F$2:$F$81,'Raw Data'!$C$2:$C$81,$C17)-MINIFS('Raw Data'!$F$2:$F$81,'Raw Data'!$C$2:$C$81,$C17))*100,50)</f>
        <v/>
      </c>
      <c r="G17" s="6">
        <f>IFERROR(('Raw Data'!K17-MINIFS('Raw Data'!$K$2:$K$81,'Raw Data'!$C$2:$C$81,$C17))/(MAXIFS('Raw Data'!$K$2:$K$81,'Raw Data'!$C$2:$C$81,$C17)-MINIFS('Raw Data'!$K$2:$K$81,'Raw Data'!$C$2:$C$81,$C17))*100,50)</f>
        <v/>
      </c>
      <c r="H17" s="6">
        <f>IFERROR(('Raw Data'!I17-MINIFS('Raw Data'!$I$2:$I$81,'Raw Data'!$C$2:$C$81,$C17))/(MAXIFS('Raw Data'!$I$2:$I$81,'Raw Data'!$C$2:$C$81,$C17)-MINIFS('Raw Data'!$I$2:$I$81,'Raw Data'!$C$2:$C$81,$C17))*100,50)</f>
        <v/>
      </c>
      <c r="I17" s="6">
        <f>100-IFERROR(('Raw Data'!H17-MINIFS('Raw Data'!$H$2:$H$81,'Raw Data'!$C$2:$C$81,$C17))/(MAXIFS('Raw Data'!$H$2:$H$81,'Raw Data'!$C$2:$C$81,$C17)-MINIFS('Raw Data'!$H$2:$H$81,'Raw Data'!$C$2:$C$81,$C17))*100,50)</f>
        <v/>
      </c>
      <c r="J17" s="6">
        <f>IFERROR(('Raw Data'!J17-MINIFS('Raw Data'!$J$2:$J$81,'Raw Data'!$C$2:$C$81,$C17))/(MAXIFS('Raw Data'!$J$2:$J$81,'Raw Data'!$C$2:$C$81,$C17)-MINIFS('Raw Data'!$J$2:$J$81,'Raw Data'!$C$2:$C$81,$C17))*100,50)</f>
        <v/>
      </c>
    </row>
    <row r="18">
      <c r="A18">
        <f>'Raw Data'!A18</f>
        <v/>
      </c>
      <c r="B18">
        <f>'Raw Data'!B18</f>
        <v/>
      </c>
      <c r="C18">
        <f>'Raw Data'!C18</f>
        <v/>
      </c>
      <c r="D18" s="6">
        <f>IFERROR(('Raw Data'!G18-MINIFS('Raw Data'!$G$2:$G$81,'Raw Data'!$C$2:$C$81,$C18))/(MAXIFS('Raw Data'!$G$2:$G$81,'Raw Data'!$C$2:$C$81,$C18)-MINIFS('Raw Data'!$G$2:$G$81,'Raw Data'!$C$2:$C$81,$C18))*100,50)</f>
        <v/>
      </c>
      <c r="E18" s="6">
        <f>IFERROR(('Raw Data'!E18-MINIFS('Raw Data'!$E$2:$E$81,'Raw Data'!$C$2:$C$81,$C18))/(MAXIFS('Raw Data'!$E$2:$E$81,'Raw Data'!$C$2:$C$81,$C18)-MINIFS('Raw Data'!$E$2:$E$81,'Raw Data'!$C$2:$C$81,$C18))*100,50)</f>
        <v/>
      </c>
      <c r="F18" s="6">
        <f>IFERROR(('Raw Data'!F18-MINIFS('Raw Data'!$F$2:$F$81,'Raw Data'!$C$2:$C$81,$C18))/(MAXIFS('Raw Data'!$F$2:$F$81,'Raw Data'!$C$2:$C$81,$C18)-MINIFS('Raw Data'!$F$2:$F$81,'Raw Data'!$C$2:$C$81,$C18))*100,50)</f>
        <v/>
      </c>
      <c r="G18" s="6">
        <f>IFERROR(('Raw Data'!K18-MINIFS('Raw Data'!$K$2:$K$81,'Raw Data'!$C$2:$C$81,$C18))/(MAXIFS('Raw Data'!$K$2:$K$81,'Raw Data'!$C$2:$C$81,$C18)-MINIFS('Raw Data'!$K$2:$K$81,'Raw Data'!$C$2:$C$81,$C18))*100,50)</f>
        <v/>
      </c>
      <c r="H18" s="6">
        <f>IFERROR(('Raw Data'!I18-MINIFS('Raw Data'!$I$2:$I$81,'Raw Data'!$C$2:$C$81,$C18))/(MAXIFS('Raw Data'!$I$2:$I$81,'Raw Data'!$C$2:$C$81,$C18)-MINIFS('Raw Data'!$I$2:$I$81,'Raw Data'!$C$2:$C$81,$C18))*100,50)</f>
        <v/>
      </c>
      <c r="I18" s="6">
        <f>100-IFERROR(('Raw Data'!H18-MINIFS('Raw Data'!$H$2:$H$81,'Raw Data'!$C$2:$C$81,$C18))/(MAXIFS('Raw Data'!$H$2:$H$81,'Raw Data'!$C$2:$C$81,$C18)-MINIFS('Raw Data'!$H$2:$H$81,'Raw Data'!$C$2:$C$81,$C18))*100,50)</f>
        <v/>
      </c>
      <c r="J18" s="6">
        <f>IFERROR(('Raw Data'!J18-MINIFS('Raw Data'!$J$2:$J$81,'Raw Data'!$C$2:$C$81,$C18))/(MAXIFS('Raw Data'!$J$2:$J$81,'Raw Data'!$C$2:$C$81,$C18)-MINIFS('Raw Data'!$J$2:$J$81,'Raw Data'!$C$2:$C$81,$C18))*100,50)</f>
        <v/>
      </c>
    </row>
    <row r="19">
      <c r="A19">
        <f>'Raw Data'!A19</f>
        <v/>
      </c>
      <c r="B19">
        <f>'Raw Data'!B19</f>
        <v/>
      </c>
      <c r="C19">
        <f>'Raw Data'!C19</f>
        <v/>
      </c>
      <c r="D19" s="6">
        <f>IFERROR(('Raw Data'!G19-MINIFS('Raw Data'!$G$2:$G$81,'Raw Data'!$C$2:$C$81,$C19))/(MAXIFS('Raw Data'!$G$2:$G$81,'Raw Data'!$C$2:$C$81,$C19)-MINIFS('Raw Data'!$G$2:$G$81,'Raw Data'!$C$2:$C$81,$C19))*100,50)</f>
        <v/>
      </c>
      <c r="E19" s="6">
        <f>IFERROR(('Raw Data'!E19-MINIFS('Raw Data'!$E$2:$E$81,'Raw Data'!$C$2:$C$81,$C19))/(MAXIFS('Raw Data'!$E$2:$E$81,'Raw Data'!$C$2:$C$81,$C19)-MINIFS('Raw Data'!$E$2:$E$81,'Raw Data'!$C$2:$C$81,$C19))*100,50)</f>
        <v/>
      </c>
      <c r="F19" s="6">
        <f>IFERROR(('Raw Data'!F19-MINIFS('Raw Data'!$F$2:$F$81,'Raw Data'!$C$2:$C$81,$C19))/(MAXIFS('Raw Data'!$F$2:$F$81,'Raw Data'!$C$2:$C$81,$C19)-MINIFS('Raw Data'!$F$2:$F$81,'Raw Data'!$C$2:$C$81,$C19))*100,50)</f>
        <v/>
      </c>
      <c r="G19" s="6">
        <f>IFERROR(('Raw Data'!K19-MINIFS('Raw Data'!$K$2:$K$81,'Raw Data'!$C$2:$C$81,$C19))/(MAXIFS('Raw Data'!$K$2:$K$81,'Raw Data'!$C$2:$C$81,$C19)-MINIFS('Raw Data'!$K$2:$K$81,'Raw Data'!$C$2:$C$81,$C19))*100,50)</f>
        <v/>
      </c>
      <c r="H19" s="6">
        <f>IFERROR(('Raw Data'!I19-MINIFS('Raw Data'!$I$2:$I$81,'Raw Data'!$C$2:$C$81,$C19))/(MAXIFS('Raw Data'!$I$2:$I$81,'Raw Data'!$C$2:$C$81,$C19)-MINIFS('Raw Data'!$I$2:$I$81,'Raw Data'!$C$2:$C$81,$C19))*100,50)</f>
        <v/>
      </c>
      <c r="I19" s="6">
        <f>100-IFERROR(('Raw Data'!H19-MINIFS('Raw Data'!$H$2:$H$81,'Raw Data'!$C$2:$C$81,$C19))/(MAXIFS('Raw Data'!$H$2:$H$81,'Raw Data'!$C$2:$C$81,$C19)-MINIFS('Raw Data'!$H$2:$H$81,'Raw Data'!$C$2:$C$81,$C19))*100,50)</f>
        <v/>
      </c>
      <c r="J19" s="6">
        <f>IFERROR(('Raw Data'!J19-MINIFS('Raw Data'!$J$2:$J$81,'Raw Data'!$C$2:$C$81,$C19))/(MAXIFS('Raw Data'!$J$2:$J$81,'Raw Data'!$C$2:$C$81,$C19)-MINIFS('Raw Data'!$J$2:$J$81,'Raw Data'!$C$2:$C$81,$C19))*100,50)</f>
        <v/>
      </c>
    </row>
    <row r="20">
      <c r="A20">
        <f>'Raw Data'!A20</f>
        <v/>
      </c>
      <c r="B20">
        <f>'Raw Data'!B20</f>
        <v/>
      </c>
      <c r="C20">
        <f>'Raw Data'!C20</f>
        <v/>
      </c>
      <c r="D20" s="6">
        <f>IFERROR(('Raw Data'!G20-MINIFS('Raw Data'!$G$2:$G$81,'Raw Data'!$C$2:$C$81,$C20))/(MAXIFS('Raw Data'!$G$2:$G$81,'Raw Data'!$C$2:$C$81,$C20)-MINIFS('Raw Data'!$G$2:$G$81,'Raw Data'!$C$2:$C$81,$C20))*100,50)</f>
        <v/>
      </c>
      <c r="E20" s="6">
        <f>IFERROR(('Raw Data'!E20-MINIFS('Raw Data'!$E$2:$E$81,'Raw Data'!$C$2:$C$81,$C20))/(MAXIFS('Raw Data'!$E$2:$E$81,'Raw Data'!$C$2:$C$81,$C20)-MINIFS('Raw Data'!$E$2:$E$81,'Raw Data'!$C$2:$C$81,$C20))*100,50)</f>
        <v/>
      </c>
      <c r="F20" s="6">
        <f>IFERROR(('Raw Data'!F20-MINIFS('Raw Data'!$F$2:$F$81,'Raw Data'!$C$2:$C$81,$C20))/(MAXIFS('Raw Data'!$F$2:$F$81,'Raw Data'!$C$2:$C$81,$C20)-MINIFS('Raw Data'!$F$2:$F$81,'Raw Data'!$C$2:$C$81,$C20))*100,50)</f>
        <v/>
      </c>
      <c r="G20" s="6">
        <f>IFERROR(('Raw Data'!K20-MINIFS('Raw Data'!$K$2:$K$81,'Raw Data'!$C$2:$C$81,$C20))/(MAXIFS('Raw Data'!$K$2:$K$81,'Raw Data'!$C$2:$C$81,$C20)-MINIFS('Raw Data'!$K$2:$K$81,'Raw Data'!$C$2:$C$81,$C20))*100,50)</f>
        <v/>
      </c>
      <c r="H20" s="6">
        <f>IFERROR(('Raw Data'!I20-MINIFS('Raw Data'!$I$2:$I$81,'Raw Data'!$C$2:$C$81,$C20))/(MAXIFS('Raw Data'!$I$2:$I$81,'Raw Data'!$C$2:$C$81,$C20)-MINIFS('Raw Data'!$I$2:$I$81,'Raw Data'!$C$2:$C$81,$C20))*100,50)</f>
        <v/>
      </c>
      <c r="I20" s="6">
        <f>100-IFERROR(('Raw Data'!H20-MINIFS('Raw Data'!$H$2:$H$81,'Raw Data'!$C$2:$C$81,$C20))/(MAXIFS('Raw Data'!$H$2:$H$81,'Raw Data'!$C$2:$C$81,$C20)-MINIFS('Raw Data'!$H$2:$H$81,'Raw Data'!$C$2:$C$81,$C20))*100,50)</f>
        <v/>
      </c>
      <c r="J20" s="6">
        <f>IFERROR(('Raw Data'!J20-MINIFS('Raw Data'!$J$2:$J$81,'Raw Data'!$C$2:$C$81,$C20))/(MAXIFS('Raw Data'!$J$2:$J$81,'Raw Data'!$C$2:$C$81,$C20)-MINIFS('Raw Data'!$J$2:$J$81,'Raw Data'!$C$2:$C$81,$C20))*100,50)</f>
        <v/>
      </c>
    </row>
    <row r="21">
      <c r="A21">
        <f>'Raw Data'!A21</f>
        <v/>
      </c>
      <c r="B21">
        <f>'Raw Data'!B21</f>
        <v/>
      </c>
      <c r="C21">
        <f>'Raw Data'!C21</f>
        <v/>
      </c>
      <c r="D21" s="6">
        <f>IFERROR(('Raw Data'!G21-MINIFS('Raw Data'!$G$2:$G$81,'Raw Data'!$C$2:$C$81,$C21))/(MAXIFS('Raw Data'!$G$2:$G$81,'Raw Data'!$C$2:$C$81,$C21)-MINIFS('Raw Data'!$G$2:$G$81,'Raw Data'!$C$2:$C$81,$C21))*100,50)</f>
        <v/>
      </c>
      <c r="E21" s="6">
        <f>IFERROR(('Raw Data'!E21-MINIFS('Raw Data'!$E$2:$E$81,'Raw Data'!$C$2:$C$81,$C21))/(MAXIFS('Raw Data'!$E$2:$E$81,'Raw Data'!$C$2:$C$81,$C21)-MINIFS('Raw Data'!$E$2:$E$81,'Raw Data'!$C$2:$C$81,$C21))*100,50)</f>
        <v/>
      </c>
      <c r="F21" s="6">
        <f>IFERROR(('Raw Data'!F21-MINIFS('Raw Data'!$F$2:$F$81,'Raw Data'!$C$2:$C$81,$C21))/(MAXIFS('Raw Data'!$F$2:$F$81,'Raw Data'!$C$2:$C$81,$C21)-MINIFS('Raw Data'!$F$2:$F$81,'Raw Data'!$C$2:$C$81,$C21))*100,50)</f>
        <v/>
      </c>
      <c r="G21" s="6">
        <f>IFERROR(('Raw Data'!K21-MINIFS('Raw Data'!$K$2:$K$81,'Raw Data'!$C$2:$C$81,$C21))/(MAXIFS('Raw Data'!$K$2:$K$81,'Raw Data'!$C$2:$C$81,$C21)-MINIFS('Raw Data'!$K$2:$K$81,'Raw Data'!$C$2:$C$81,$C21))*100,50)</f>
        <v/>
      </c>
      <c r="H21" s="6">
        <f>IFERROR(('Raw Data'!I21-MINIFS('Raw Data'!$I$2:$I$81,'Raw Data'!$C$2:$C$81,$C21))/(MAXIFS('Raw Data'!$I$2:$I$81,'Raw Data'!$C$2:$C$81,$C21)-MINIFS('Raw Data'!$I$2:$I$81,'Raw Data'!$C$2:$C$81,$C21))*100,50)</f>
        <v/>
      </c>
      <c r="I21" s="6">
        <f>100-IFERROR(('Raw Data'!H21-MINIFS('Raw Data'!$H$2:$H$81,'Raw Data'!$C$2:$C$81,$C21))/(MAXIFS('Raw Data'!$H$2:$H$81,'Raw Data'!$C$2:$C$81,$C21)-MINIFS('Raw Data'!$H$2:$H$81,'Raw Data'!$C$2:$C$81,$C21))*100,50)</f>
        <v/>
      </c>
      <c r="J21" s="6">
        <f>IFERROR(('Raw Data'!J21-MINIFS('Raw Data'!$J$2:$J$81,'Raw Data'!$C$2:$C$81,$C21))/(MAXIFS('Raw Data'!$J$2:$J$81,'Raw Data'!$C$2:$C$81,$C21)-MINIFS('Raw Data'!$J$2:$J$81,'Raw Data'!$C$2:$C$81,$C21))*100,50)</f>
        <v/>
      </c>
    </row>
    <row r="22">
      <c r="A22">
        <f>'Raw Data'!A22</f>
        <v/>
      </c>
      <c r="B22">
        <f>'Raw Data'!B22</f>
        <v/>
      </c>
      <c r="C22">
        <f>'Raw Data'!C22</f>
        <v/>
      </c>
      <c r="D22" s="6">
        <f>IFERROR(('Raw Data'!G22-MINIFS('Raw Data'!$G$2:$G$81,'Raw Data'!$C$2:$C$81,$C22))/(MAXIFS('Raw Data'!$G$2:$G$81,'Raw Data'!$C$2:$C$81,$C22)-MINIFS('Raw Data'!$G$2:$G$81,'Raw Data'!$C$2:$C$81,$C22))*100,50)</f>
        <v/>
      </c>
      <c r="E22" s="6">
        <f>IFERROR(('Raw Data'!E22-MINIFS('Raw Data'!$E$2:$E$81,'Raw Data'!$C$2:$C$81,$C22))/(MAXIFS('Raw Data'!$E$2:$E$81,'Raw Data'!$C$2:$C$81,$C22)-MINIFS('Raw Data'!$E$2:$E$81,'Raw Data'!$C$2:$C$81,$C22))*100,50)</f>
        <v/>
      </c>
      <c r="F22" s="6">
        <f>IFERROR(('Raw Data'!F22-MINIFS('Raw Data'!$F$2:$F$81,'Raw Data'!$C$2:$C$81,$C22))/(MAXIFS('Raw Data'!$F$2:$F$81,'Raw Data'!$C$2:$C$81,$C22)-MINIFS('Raw Data'!$F$2:$F$81,'Raw Data'!$C$2:$C$81,$C22))*100,50)</f>
        <v/>
      </c>
      <c r="G22" s="6">
        <f>IFERROR(('Raw Data'!K22-MINIFS('Raw Data'!$K$2:$K$81,'Raw Data'!$C$2:$C$81,$C22))/(MAXIFS('Raw Data'!$K$2:$K$81,'Raw Data'!$C$2:$C$81,$C22)-MINIFS('Raw Data'!$K$2:$K$81,'Raw Data'!$C$2:$C$81,$C22))*100,50)</f>
        <v/>
      </c>
      <c r="H22" s="6">
        <f>IFERROR(('Raw Data'!I22-MINIFS('Raw Data'!$I$2:$I$81,'Raw Data'!$C$2:$C$81,$C22))/(MAXIFS('Raw Data'!$I$2:$I$81,'Raw Data'!$C$2:$C$81,$C22)-MINIFS('Raw Data'!$I$2:$I$81,'Raw Data'!$C$2:$C$81,$C22))*100,50)</f>
        <v/>
      </c>
      <c r="I22" s="6">
        <f>100-IFERROR(('Raw Data'!H22-MINIFS('Raw Data'!$H$2:$H$81,'Raw Data'!$C$2:$C$81,$C22))/(MAXIFS('Raw Data'!$H$2:$H$81,'Raw Data'!$C$2:$C$81,$C22)-MINIFS('Raw Data'!$H$2:$H$81,'Raw Data'!$C$2:$C$81,$C22))*100,50)</f>
        <v/>
      </c>
      <c r="J22" s="6">
        <f>IFERROR(('Raw Data'!J22-MINIFS('Raw Data'!$J$2:$J$81,'Raw Data'!$C$2:$C$81,$C22))/(MAXIFS('Raw Data'!$J$2:$J$81,'Raw Data'!$C$2:$C$81,$C22)-MINIFS('Raw Data'!$J$2:$J$81,'Raw Data'!$C$2:$C$81,$C22))*100,50)</f>
        <v/>
      </c>
    </row>
    <row r="23">
      <c r="A23">
        <f>'Raw Data'!A23</f>
        <v/>
      </c>
      <c r="B23">
        <f>'Raw Data'!B23</f>
        <v/>
      </c>
      <c r="C23">
        <f>'Raw Data'!C23</f>
        <v/>
      </c>
      <c r="D23" s="6">
        <f>IFERROR(('Raw Data'!G23-MINIFS('Raw Data'!$G$2:$G$81,'Raw Data'!$C$2:$C$81,$C23))/(MAXIFS('Raw Data'!$G$2:$G$81,'Raw Data'!$C$2:$C$81,$C23)-MINIFS('Raw Data'!$G$2:$G$81,'Raw Data'!$C$2:$C$81,$C23))*100,50)</f>
        <v/>
      </c>
      <c r="E23" s="6">
        <f>IFERROR(('Raw Data'!E23-MINIFS('Raw Data'!$E$2:$E$81,'Raw Data'!$C$2:$C$81,$C23))/(MAXIFS('Raw Data'!$E$2:$E$81,'Raw Data'!$C$2:$C$81,$C23)-MINIFS('Raw Data'!$E$2:$E$81,'Raw Data'!$C$2:$C$81,$C23))*100,50)</f>
        <v/>
      </c>
      <c r="F23" s="6">
        <f>IFERROR(('Raw Data'!F23-MINIFS('Raw Data'!$F$2:$F$81,'Raw Data'!$C$2:$C$81,$C23))/(MAXIFS('Raw Data'!$F$2:$F$81,'Raw Data'!$C$2:$C$81,$C23)-MINIFS('Raw Data'!$F$2:$F$81,'Raw Data'!$C$2:$C$81,$C23))*100,50)</f>
        <v/>
      </c>
      <c r="G23" s="6">
        <f>IFERROR(('Raw Data'!K23-MINIFS('Raw Data'!$K$2:$K$81,'Raw Data'!$C$2:$C$81,$C23))/(MAXIFS('Raw Data'!$K$2:$K$81,'Raw Data'!$C$2:$C$81,$C23)-MINIFS('Raw Data'!$K$2:$K$81,'Raw Data'!$C$2:$C$81,$C23))*100,50)</f>
        <v/>
      </c>
      <c r="H23" s="6">
        <f>IFERROR(('Raw Data'!I23-MINIFS('Raw Data'!$I$2:$I$81,'Raw Data'!$C$2:$C$81,$C23))/(MAXIFS('Raw Data'!$I$2:$I$81,'Raw Data'!$C$2:$C$81,$C23)-MINIFS('Raw Data'!$I$2:$I$81,'Raw Data'!$C$2:$C$81,$C23))*100,50)</f>
        <v/>
      </c>
      <c r="I23" s="6">
        <f>100-IFERROR(('Raw Data'!H23-MINIFS('Raw Data'!$H$2:$H$81,'Raw Data'!$C$2:$C$81,$C23))/(MAXIFS('Raw Data'!$H$2:$H$81,'Raw Data'!$C$2:$C$81,$C23)-MINIFS('Raw Data'!$H$2:$H$81,'Raw Data'!$C$2:$C$81,$C23))*100,50)</f>
        <v/>
      </c>
      <c r="J23" s="6">
        <f>IFERROR(('Raw Data'!J23-MINIFS('Raw Data'!$J$2:$J$81,'Raw Data'!$C$2:$C$81,$C23))/(MAXIFS('Raw Data'!$J$2:$J$81,'Raw Data'!$C$2:$C$81,$C23)-MINIFS('Raw Data'!$J$2:$J$81,'Raw Data'!$C$2:$C$81,$C23))*100,50)</f>
        <v/>
      </c>
    </row>
    <row r="24">
      <c r="A24">
        <f>'Raw Data'!A24</f>
        <v/>
      </c>
      <c r="B24">
        <f>'Raw Data'!B24</f>
        <v/>
      </c>
      <c r="C24">
        <f>'Raw Data'!C24</f>
        <v/>
      </c>
      <c r="D24" s="6">
        <f>IFERROR(('Raw Data'!G24-MINIFS('Raw Data'!$G$2:$G$81,'Raw Data'!$C$2:$C$81,$C24))/(MAXIFS('Raw Data'!$G$2:$G$81,'Raw Data'!$C$2:$C$81,$C24)-MINIFS('Raw Data'!$G$2:$G$81,'Raw Data'!$C$2:$C$81,$C24))*100,50)</f>
        <v/>
      </c>
      <c r="E24" s="6">
        <f>IFERROR(('Raw Data'!E24-MINIFS('Raw Data'!$E$2:$E$81,'Raw Data'!$C$2:$C$81,$C24))/(MAXIFS('Raw Data'!$E$2:$E$81,'Raw Data'!$C$2:$C$81,$C24)-MINIFS('Raw Data'!$E$2:$E$81,'Raw Data'!$C$2:$C$81,$C24))*100,50)</f>
        <v/>
      </c>
      <c r="F24" s="6">
        <f>IFERROR(('Raw Data'!F24-MINIFS('Raw Data'!$F$2:$F$81,'Raw Data'!$C$2:$C$81,$C24))/(MAXIFS('Raw Data'!$F$2:$F$81,'Raw Data'!$C$2:$C$81,$C24)-MINIFS('Raw Data'!$F$2:$F$81,'Raw Data'!$C$2:$C$81,$C24))*100,50)</f>
        <v/>
      </c>
      <c r="G24" s="6">
        <f>IFERROR(('Raw Data'!K24-MINIFS('Raw Data'!$K$2:$K$81,'Raw Data'!$C$2:$C$81,$C24))/(MAXIFS('Raw Data'!$K$2:$K$81,'Raw Data'!$C$2:$C$81,$C24)-MINIFS('Raw Data'!$K$2:$K$81,'Raw Data'!$C$2:$C$81,$C24))*100,50)</f>
        <v/>
      </c>
      <c r="H24" s="6">
        <f>IFERROR(('Raw Data'!I24-MINIFS('Raw Data'!$I$2:$I$81,'Raw Data'!$C$2:$C$81,$C24))/(MAXIFS('Raw Data'!$I$2:$I$81,'Raw Data'!$C$2:$C$81,$C24)-MINIFS('Raw Data'!$I$2:$I$81,'Raw Data'!$C$2:$C$81,$C24))*100,50)</f>
        <v/>
      </c>
      <c r="I24" s="6">
        <f>100-IFERROR(('Raw Data'!H24-MINIFS('Raw Data'!$H$2:$H$81,'Raw Data'!$C$2:$C$81,$C24))/(MAXIFS('Raw Data'!$H$2:$H$81,'Raw Data'!$C$2:$C$81,$C24)-MINIFS('Raw Data'!$H$2:$H$81,'Raw Data'!$C$2:$C$81,$C24))*100,50)</f>
        <v/>
      </c>
      <c r="J24" s="6">
        <f>IFERROR(('Raw Data'!J24-MINIFS('Raw Data'!$J$2:$J$81,'Raw Data'!$C$2:$C$81,$C24))/(MAXIFS('Raw Data'!$J$2:$J$81,'Raw Data'!$C$2:$C$81,$C24)-MINIFS('Raw Data'!$J$2:$J$81,'Raw Data'!$C$2:$C$81,$C24))*100,50)</f>
        <v/>
      </c>
    </row>
    <row r="25">
      <c r="A25">
        <f>'Raw Data'!A25</f>
        <v/>
      </c>
      <c r="B25">
        <f>'Raw Data'!B25</f>
        <v/>
      </c>
      <c r="C25">
        <f>'Raw Data'!C25</f>
        <v/>
      </c>
      <c r="D25" s="6">
        <f>IFERROR(('Raw Data'!G25-MINIFS('Raw Data'!$G$2:$G$81,'Raw Data'!$C$2:$C$81,$C25))/(MAXIFS('Raw Data'!$G$2:$G$81,'Raw Data'!$C$2:$C$81,$C25)-MINIFS('Raw Data'!$G$2:$G$81,'Raw Data'!$C$2:$C$81,$C25))*100,50)</f>
        <v/>
      </c>
      <c r="E25" s="6">
        <f>IFERROR(('Raw Data'!E25-MINIFS('Raw Data'!$E$2:$E$81,'Raw Data'!$C$2:$C$81,$C25))/(MAXIFS('Raw Data'!$E$2:$E$81,'Raw Data'!$C$2:$C$81,$C25)-MINIFS('Raw Data'!$E$2:$E$81,'Raw Data'!$C$2:$C$81,$C25))*100,50)</f>
        <v/>
      </c>
      <c r="F25" s="6">
        <f>IFERROR(('Raw Data'!F25-MINIFS('Raw Data'!$F$2:$F$81,'Raw Data'!$C$2:$C$81,$C25))/(MAXIFS('Raw Data'!$F$2:$F$81,'Raw Data'!$C$2:$C$81,$C25)-MINIFS('Raw Data'!$F$2:$F$81,'Raw Data'!$C$2:$C$81,$C25))*100,50)</f>
        <v/>
      </c>
      <c r="G25" s="6">
        <f>IFERROR(('Raw Data'!K25-MINIFS('Raw Data'!$K$2:$K$81,'Raw Data'!$C$2:$C$81,$C25))/(MAXIFS('Raw Data'!$K$2:$K$81,'Raw Data'!$C$2:$C$81,$C25)-MINIFS('Raw Data'!$K$2:$K$81,'Raw Data'!$C$2:$C$81,$C25))*100,50)</f>
        <v/>
      </c>
      <c r="H25" s="6">
        <f>IFERROR(('Raw Data'!I25-MINIFS('Raw Data'!$I$2:$I$81,'Raw Data'!$C$2:$C$81,$C25))/(MAXIFS('Raw Data'!$I$2:$I$81,'Raw Data'!$C$2:$C$81,$C25)-MINIFS('Raw Data'!$I$2:$I$81,'Raw Data'!$C$2:$C$81,$C25))*100,50)</f>
        <v/>
      </c>
      <c r="I25" s="6">
        <f>100-IFERROR(('Raw Data'!H25-MINIFS('Raw Data'!$H$2:$H$81,'Raw Data'!$C$2:$C$81,$C25))/(MAXIFS('Raw Data'!$H$2:$H$81,'Raw Data'!$C$2:$C$81,$C25)-MINIFS('Raw Data'!$H$2:$H$81,'Raw Data'!$C$2:$C$81,$C25))*100,50)</f>
        <v/>
      </c>
      <c r="J25" s="6">
        <f>IFERROR(('Raw Data'!J25-MINIFS('Raw Data'!$J$2:$J$81,'Raw Data'!$C$2:$C$81,$C25))/(MAXIFS('Raw Data'!$J$2:$J$81,'Raw Data'!$C$2:$C$81,$C25)-MINIFS('Raw Data'!$J$2:$J$81,'Raw Data'!$C$2:$C$81,$C25))*100,50)</f>
        <v/>
      </c>
    </row>
    <row r="26">
      <c r="A26">
        <f>'Raw Data'!A26</f>
        <v/>
      </c>
      <c r="B26">
        <f>'Raw Data'!B26</f>
        <v/>
      </c>
      <c r="C26">
        <f>'Raw Data'!C26</f>
        <v/>
      </c>
      <c r="D26" s="6">
        <f>IFERROR(('Raw Data'!G26-MINIFS('Raw Data'!$G$2:$G$81,'Raw Data'!$C$2:$C$81,$C26))/(MAXIFS('Raw Data'!$G$2:$G$81,'Raw Data'!$C$2:$C$81,$C26)-MINIFS('Raw Data'!$G$2:$G$81,'Raw Data'!$C$2:$C$81,$C26))*100,50)</f>
        <v/>
      </c>
      <c r="E26" s="6">
        <f>IFERROR(('Raw Data'!E26-MINIFS('Raw Data'!$E$2:$E$81,'Raw Data'!$C$2:$C$81,$C26))/(MAXIFS('Raw Data'!$E$2:$E$81,'Raw Data'!$C$2:$C$81,$C26)-MINIFS('Raw Data'!$E$2:$E$81,'Raw Data'!$C$2:$C$81,$C26))*100,50)</f>
        <v/>
      </c>
      <c r="F26" s="6">
        <f>IFERROR(('Raw Data'!F26-MINIFS('Raw Data'!$F$2:$F$81,'Raw Data'!$C$2:$C$81,$C26))/(MAXIFS('Raw Data'!$F$2:$F$81,'Raw Data'!$C$2:$C$81,$C26)-MINIFS('Raw Data'!$F$2:$F$81,'Raw Data'!$C$2:$C$81,$C26))*100,50)</f>
        <v/>
      </c>
      <c r="G26" s="6">
        <f>IFERROR(('Raw Data'!K26-MINIFS('Raw Data'!$K$2:$K$81,'Raw Data'!$C$2:$C$81,$C26))/(MAXIFS('Raw Data'!$K$2:$K$81,'Raw Data'!$C$2:$C$81,$C26)-MINIFS('Raw Data'!$K$2:$K$81,'Raw Data'!$C$2:$C$81,$C26))*100,50)</f>
        <v/>
      </c>
      <c r="H26" s="6">
        <f>IFERROR(('Raw Data'!I26-MINIFS('Raw Data'!$I$2:$I$81,'Raw Data'!$C$2:$C$81,$C26))/(MAXIFS('Raw Data'!$I$2:$I$81,'Raw Data'!$C$2:$C$81,$C26)-MINIFS('Raw Data'!$I$2:$I$81,'Raw Data'!$C$2:$C$81,$C26))*100,50)</f>
        <v/>
      </c>
      <c r="I26" s="6">
        <f>100-IFERROR(('Raw Data'!H26-MINIFS('Raw Data'!$H$2:$H$81,'Raw Data'!$C$2:$C$81,$C26))/(MAXIFS('Raw Data'!$H$2:$H$81,'Raw Data'!$C$2:$C$81,$C26)-MINIFS('Raw Data'!$H$2:$H$81,'Raw Data'!$C$2:$C$81,$C26))*100,50)</f>
        <v/>
      </c>
      <c r="J26" s="6">
        <f>IFERROR(('Raw Data'!J26-MINIFS('Raw Data'!$J$2:$J$81,'Raw Data'!$C$2:$C$81,$C26))/(MAXIFS('Raw Data'!$J$2:$J$81,'Raw Data'!$C$2:$C$81,$C26)-MINIFS('Raw Data'!$J$2:$J$81,'Raw Data'!$C$2:$C$81,$C26))*100,50)</f>
        <v/>
      </c>
    </row>
    <row r="27">
      <c r="A27">
        <f>'Raw Data'!A27</f>
        <v/>
      </c>
      <c r="B27">
        <f>'Raw Data'!B27</f>
        <v/>
      </c>
      <c r="C27">
        <f>'Raw Data'!C27</f>
        <v/>
      </c>
      <c r="D27" s="6">
        <f>IFERROR(('Raw Data'!G27-MINIFS('Raw Data'!$G$2:$G$81,'Raw Data'!$C$2:$C$81,$C27))/(MAXIFS('Raw Data'!$G$2:$G$81,'Raw Data'!$C$2:$C$81,$C27)-MINIFS('Raw Data'!$G$2:$G$81,'Raw Data'!$C$2:$C$81,$C27))*100,50)</f>
        <v/>
      </c>
      <c r="E27" s="6">
        <f>IFERROR(('Raw Data'!E27-MINIFS('Raw Data'!$E$2:$E$81,'Raw Data'!$C$2:$C$81,$C27))/(MAXIFS('Raw Data'!$E$2:$E$81,'Raw Data'!$C$2:$C$81,$C27)-MINIFS('Raw Data'!$E$2:$E$81,'Raw Data'!$C$2:$C$81,$C27))*100,50)</f>
        <v/>
      </c>
      <c r="F27" s="6">
        <f>IFERROR(('Raw Data'!F27-MINIFS('Raw Data'!$F$2:$F$81,'Raw Data'!$C$2:$C$81,$C27))/(MAXIFS('Raw Data'!$F$2:$F$81,'Raw Data'!$C$2:$C$81,$C27)-MINIFS('Raw Data'!$F$2:$F$81,'Raw Data'!$C$2:$C$81,$C27))*100,50)</f>
        <v/>
      </c>
      <c r="G27" s="6">
        <f>IFERROR(('Raw Data'!K27-MINIFS('Raw Data'!$K$2:$K$81,'Raw Data'!$C$2:$C$81,$C27))/(MAXIFS('Raw Data'!$K$2:$K$81,'Raw Data'!$C$2:$C$81,$C27)-MINIFS('Raw Data'!$K$2:$K$81,'Raw Data'!$C$2:$C$81,$C27))*100,50)</f>
        <v/>
      </c>
      <c r="H27" s="6">
        <f>IFERROR(('Raw Data'!I27-MINIFS('Raw Data'!$I$2:$I$81,'Raw Data'!$C$2:$C$81,$C27))/(MAXIFS('Raw Data'!$I$2:$I$81,'Raw Data'!$C$2:$C$81,$C27)-MINIFS('Raw Data'!$I$2:$I$81,'Raw Data'!$C$2:$C$81,$C27))*100,50)</f>
        <v/>
      </c>
      <c r="I27" s="6">
        <f>100-IFERROR(('Raw Data'!H27-MINIFS('Raw Data'!$H$2:$H$81,'Raw Data'!$C$2:$C$81,$C27))/(MAXIFS('Raw Data'!$H$2:$H$81,'Raw Data'!$C$2:$C$81,$C27)-MINIFS('Raw Data'!$H$2:$H$81,'Raw Data'!$C$2:$C$81,$C27))*100,50)</f>
        <v/>
      </c>
      <c r="J27" s="6">
        <f>IFERROR(('Raw Data'!J27-MINIFS('Raw Data'!$J$2:$J$81,'Raw Data'!$C$2:$C$81,$C27))/(MAXIFS('Raw Data'!$J$2:$J$81,'Raw Data'!$C$2:$C$81,$C27)-MINIFS('Raw Data'!$J$2:$J$81,'Raw Data'!$C$2:$C$81,$C27))*100,50)</f>
        <v/>
      </c>
    </row>
    <row r="28">
      <c r="A28">
        <f>'Raw Data'!A28</f>
        <v/>
      </c>
      <c r="B28">
        <f>'Raw Data'!B28</f>
        <v/>
      </c>
      <c r="C28">
        <f>'Raw Data'!C28</f>
        <v/>
      </c>
      <c r="D28" s="6">
        <f>IFERROR(('Raw Data'!G28-MINIFS('Raw Data'!$G$2:$G$81,'Raw Data'!$C$2:$C$81,$C28))/(MAXIFS('Raw Data'!$G$2:$G$81,'Raw Data'!$C$2:$C$81,$C28)-MINIFS('Raw Data'!$G$2:$G$81,'Raw Data'!$C$2:$C$81,$C28))*100,50)</f>
        <v/>
      </c>
      <c r="E28" s="6">
        <f>IFERROR(('Raw Data'!E28-MINIFS('Raw Data'!$E$2:$E$81,'Raw Data'!$C$2:$C$81,$C28))/(MAXIFS('Raw Data'!$E$2:$E$81,'Raw Data'!$C$2:$C$81,$C28)-MINIFS('Raw Data'!$E$2:$E$81,'Raw Data'!$C$2:$C$81,$C28))*100,50)</f>
        <v/>
      </c>
      <c r="F28" s="6">
        <f>IFERROR(('Raw Data'!F28-MINIFS('Raw Data'!$F$2:$F$81,'Raw Data'!$C$2:$C$81,$C28))/(MAXIFS('Raw Data'!$F$2:$F$81,'Raw Data'!$C$2:$C$81,$C28)-MINIFS('Raw Data'!$F$2:$F$81,'Raw Data'!$C$2:$C$81,$C28))*100,50)</f>
        <v/>
      </c>
      <c r="G28" s="6">
        <f>IFERROR(('Raw Data'!K28-MINIFS('Raw Data'!$K$2:$K$81,'Raw Data'!$C$2:$C$81,$C28))/(MAXIFS('Raw Data'!$K$2:$K$81,'Raw Data'!$C$2:$C$81,$C28)-MINIFS('Raw Data'!$K$2:$K$81,'Raw Data'!$C$2:$C$81,$C28))*100,50)</f>
        <v/>
      </c>
      <c r="H28" s="6">
        <f>IFERROR(('Raw Data'!I28-MINIFS('Raw Data'!$I$2:$I$81,'Raw Data'!$C$2:$C$81,$C28))/(MAXIFS('Raw Data'!$I$2:$I$81,'Raw Data'!$C$2:$C$81,$C28)-MINIFS('Raw Data'!$I$2:$I$81,'Raw Data'!$C$2:$C$81,$C28))*100,50)</f>
        <v/>
      </c>
      <c r="I28" s="6">
        <f>100-IFERROR(('Raw Data'!H28-MINIFS('Raw Data'!$H$2:$H$81,'Raw Data'!$C$2:$C$81,$C28))/(MAXIFS('Raw Data'!$H$2:$H$81,'Raw Data'!$C$2:$C$81,$C28)-MINIFS('Raw Data'!$H$2:$H$81,'Raw Data'!$C$2:$C$81,$C28))*100,50)</f>
        <v/>
      </c>
      <c r="J28" s="6">
        <f>IFERROR(('Raw Data'!J28-MINIFS('Raw Data'!$J$2:$J$81,'Raw Data'!$C$2:$C$81,$C28))/(MAXIFS('Raw Data'!$J$2:$J$81,'Raw Data'!$C$2:$C$81,$C28)-MINIFS('Raw Data'!$J$2:$J$81,'Raw Data'!$C$2:$C$81,$C28))*100,50)</f>
        <v/>
      </c>
    </row>
    <row r="29">
      <c r="A29">
        <f>'Raw Data'!A29</f>
        <v/>
      </c>
      <c r="B29">
        <f>'Raw Data'!B29</f>
        <v/>
      </c>
      <c r="C29">
        <f>'Raw Data'!C29</f>
        <v/>
      </c>
      <c r="D29" s="6">
        <f>IFERROR(('Raw Data'!G29-MINIFS('Raw Data'!$G$2:$G$81,'Raw Data'!$C$2:$C$81,$C29))/(MAXIFS('Raw Data'!$G$2:$G$81,'Raw Data'!$C$2:$C$81,$C29)-MINIFS('Raw Data'!$G$2:$G$81,'Raw Data'!$C$2:$C$81,$C29))*100,50)</f>
        <v/>
      </c>
      <c r="E29" s="6">
        <f>IFERROR(('Raw Data'!E29-MINIFS('Raw Data'!$E$2:$E$81,'Raw Data'!$C$2:$C$81,$C29))/(MAXIFS('Raw Data'!$E$2:$E$81,'Raw Data'!$C$2:$C$81,$C29)-MINIFS('Raw Data'!$E$2:$E$81,'Raw Data'!$C$2:$C$81,$C29))*100,50)</f>
        <v/>
      </c>
      <c r="F29" s="6">
        <f>IFERROR(('Raw Data'!F29-MINIFS('Raw Data'!$F$2:$F$81,'Raw Data'!$C$2:$C$81,$C29))/(MAXIFS('Raw Data'!$F$2:$F$81,'Raw Data'!$C$2:$C$81,$C29)-MINIFS('Raw Data'!$F$2:$F$81,'Raw Data'!$C$2:$C$81,$C29))*100,50)</f>
        <v/>
      </c>
      <c r="G29" s="6">
        <f>IFERROR(('Raw Data'!K29-MINIFS('Raw Data'!$K$2:$K$81,'Raw Data'!$C$2:$C$81,$C29))/(MAXIFS('Raw Data'!$K$2:$K$81,'Raw Data'!$C$2:$C$81,$C29)-MINIFS('Raw Data'!$K$2:$K$81,'Raw Data'!$C$2:$C$81,$C29))*100,50)</f>
        <v/>
      </c>
      <c r="H29" s="6">
        <f>IFERROR(('Raw Data'!I29-MINIFS('Raw Data'!$I$2:$I$81,'Raw Data'!$C$2:$C$81,$C29))/(MAXIFS('Raw Data'!$I$2:$I$81,'Raw Data'!$C$2:$C$81,$C29)-MINIFS('Raw Data'!$I$2:$I$81,'Raw Data'!$C$2:$C$81,$C29))*100,50)</f>
        <v/>
      </c>
      <c r="I29" s="6">
        <f>100-IFERROR(('Raw Data'!H29-MINIFS('Raw Data'!$H$2:$H$81,'Raw Data'!$C$2:$C$81,$C29))/(MAXIFS('Raw Data'!$H$2:$H$81,'Raw Data'!$C$2:$C$81,$C29)-MINIFS('Raw Data'!$H$2:$H$81,'Raw Data'!$C$2:$C$81,$C29))*100,50)</f>
        <v/>
      </c>
      <c r="J29" s="6">
        <f>IFERROR(('Raw Data'!J29-MINIFS('Raw Data'!$J$2:$J$81,'Raw Data'!$C$2:$C$81,$C29))/(MAXIFS('Raw Data'!$J$2:$J$81,'Raw Data'!$C$2:$C$81,$C29)-MINIFS('Raw Data'!$J$2:$J$81,'Raw Data'!$C$2:$C$81,$C29))*100,50)</f>
        <v/>
      </c>
    </row>
    <row r="30">
      <c r="A30">
        <f>'Raw Data'!A30</f>
        <v/>
      </c>
      <c r="B30">
        <f>'Raw Data'!B30</f>
        <v/>
      </c>
      <c r="C30">
        <f>'Raw Data'!C30</f>
        <v/>
      </c>
      <c r="D30" s="6">
        <f>IFERROR(('Raw Data'!G30-MINIFS('Raw Data'!$G$2:$G$81,'Raw Data'!$C$2:$C$81,$C30))/(MAXIFS('Raw Data'!$G$2:$G$81,'Raw Data'!$C$2:$C$81,$C30)-MINIFS('Raw Data'!$G$2:$G$81,'Raw Data'!$C$2:$C$81,$C30))*100,50)</f>
        <v/>
      </c>
      <c r="E30" s="6">
        <f>IFERROR(('Raw Data'!E30-MINIFS('Raw Data'!$E$2:$E$81,'Raw Data'!$C$2:$C$81,$C30))/(MAXIFS('Raw Data'!$E$2:$E$81,'Raw Data'!$C$2:$C$81,$C30)-MINIFS('Raw Data'!$E$2:$E$81,'Raw Data'!$C$2:$C$81,$C30))*100,50)</f>
        <v/>
      </c>
      <c r="F30" s="6">
        <f>IFERROR(('Raw Data'!F30-MINIFS('Raw Data'!$F$2:$F$81,'Raw Data'!$C$2:$C$81,$C30))/(MAXIFS('Raw Data'!$F$2:$F$81,'Raw Data'!$C$2:$C$81,$C30)-MINIFS('Raw Data'!$F$2:$F$81,'Raw Data'!$C$2:$C$81,$C30))*100,50)</f>
        <v/>
      </c>
      <c r="G30" s="6">
        <f>IFERROR(('Raw Data'!K30-MINIFS('Raw Data'!$K$2:$K$81,'Raw Data'!$C$2:$C$81,$C30))/(MAXIFS('Raw Data'!$K$2:$K$81,'Raw Data'!$C$2:$C$81,$C30)-MINIFS('Raw Data'!$K$2:$K$81,'Raw Data'!$C$2:$C$81,$C30))*100,50)</f>
        <v/>
      </c>
      <c r="H30" s="6">
        <f>IFERROR(('Raw Data'!I30-MINIFS('Raw Data'!$I$2:$I$81,'Raw Data'!$C$2:$C$81,$C30))/(MAXIFS('Raw Data'!$I$2:$I$81,'Raw Data'!$C$2:$C$81,$C30)-MINIFS('Raw Data'!$I$2:$I$81,'Raw Data'!$C$2:$C$81,$C30))*100,50)</f>
        <v/>
      </c>
      <c r="I30" s="6">
        <f>100-IFERROR(('Raw Data'!H30-MINIFS('Raw Data'!$H$2:$H$81,'Raw Data'!$C$2:$C$81,$C30))/(MAXIFS('Raw Data'!$H$2:$H$81,'Raw Data'!$C$2:$C$81,$C30)-MINIFS('Raw Data'!$H$2:$H$81,'Raw Data'!$C$2:$C$81,$C30))*100,50)</f>
        <v/>
      </c>
      <c r="J30" s="6">
        <f>IFERROR(('Raw Data'!J30-MINIFS('Raw Data'!$J$2:$J$81,'Raw Data'!$C$2:$C$81,$C30))/(MAXIFS('Raw Data'!$J$2:$J$81,'Raw Data'!$C$2:$C$81,$C30)-MINIFS('Raw Data'!$J$2:$J$81,'Raw Data'!$C$2:$C$81,$C30))*100,50)</f>
        <v/>
      </c>
    </row>
    <row r="31">
      <c r="A31">
        <f>'Raw Data'!A31</f>
        <v/>
      </c>
      <c r="B31">
        <f>'Raw Data'!B31</f>
        <v/>
      </c>
      <c r="C31">
        <f>'Raw Data'!C31</f>
        <v/>
      </c>
      <c r="D31" s="6">
        <f>IFERROR(('Raw Data'!G31-MINIFS('Raw Data'!$G$2:$G$81,'Raw Data'!$C$2:$C$81,$C31))/(MAXIFS('Raw Data'!$G$2:$G$81,'Raw Data'!$C$2:$C$81,$C31)-MINIFS('Raw Data'!$G$2:$G$81,'Raw Data'!$C$2:$C$81,$C31))*100,50)</f>
        <v/>
      </c>
      <c r="E31" s="6">
        <f>IFERROR(('Raw Data'!E31-MINIFS('Raw Data'!$E$2:$E$81,'Raw Data'!$C$2:$C$81,$C31))/(MAXIFS('Raw Data'!$E$2:$E$81,'Raw Data'!$C$2:$C$81,$C31)-MINIFS('Raw Data'!$E$2:$E$81,'Raw Data'!$C$2:$C$81,$C31))*100,50)</f>
        <v/>
      </c>
      <c r="F31" s="6">
        <f>IFERROR(('Raw Data'!F31-MINIFS('Raw Data'!$F$2:$F$81,'Raw Data'!$C$2:$C$81,$C31))/(MAXIFS('Raw Data'!$F$2:$F$81,'Raw Data'!$C$2:$C$81,$C31)-MINIFS('Raw Data'!$F$2:$F$81,'Raw Data'!$C$2:$C$81,$C31))*100,50)</f>
        <v/>
      </c>
      <c r="G31" s="6">
        <f>IFERROR(('Raw Data'!K31-MINIFS('Raw Data'!$K$2:$K$81,'Raw Data'!$C$2:$C$81,$C31))/(MAXIFS('Raw Data'!$K$2:$K$81,'Raw Data'!$C$2:$C$81,$C31)-MINIFS('Raw Data'!$K$2:$K$81,'Raw Data'!$C$2:$C$81,$C31))*100,50)</f>
        <v/>
      </c>
      <c r="H31" s="6">
        <f>IFERROR(('Raw Data'!I31-MINIFS('Raw Data'!$I$2:$I$81,'Raw Data'!$C$2:$C$81,$C31))/(MAXIFS('Raw Data'!$I$2:$I$81,'Raw Data'!$C$2:$C$81,$C31)-MINIFS('Raw Data'!$I$2:$I$81,'Raw Data'!$C$2:$C$81,$C31))*100,50)</f>
        <v/>
      </c>
      <c r="I31" s="6">
        <f>100-IFERROR(('Raw Data'!H31-MINIFS('Raw Data'!$H$2:$H$81,'Raw Data'!$C$2:$C$81,$C31))/(MAXIFS('Raw Data'!$H$2:$H$81,'Raw Data'!$C$2:$C$81,$C31)-MINIFS('Raw Data'!$H$2:$H$81,'Raw Data'!$C$2:$C$81,$C31))*100,50)</f>
        <v/>
      </c>
      <c r="J31" s="6">
        <f>IFERROR(('Raw Data'!J31-MINIFS('Raw Data'!$J$2:$J$81,'Raw Data'!$C$2:$C$81,$C31))/(MAXIFS('Raw Data'!$J$2:$J$81,'Raw Data'!$C$2:$C$81,$C31)-MINIFS('Raw Data'!$J$2:$J$81,'Raw Data'!$C$2:$C$81,$C31))*100,50)</f>
        <v/>
      </c>
    </row>
    <row r="32">
      <c r="A32">
        <f>'Raw Data'!A32</f>
        <v/>
      </c>
      <c r="B32">
        <f>'Raw Data'!B32</f>
        <v/>
      </c>
      <c r="C32">
        <f>'Raw Data'!C32</f>
        <v/>
      </c>
      <c r="D32" s="6">
        <f>IFERROR(('Raw Data'!G32-MINIFS('Raw Data'!$G$2:$G$81,'Raw Data'!$C$2:$C$81,$C32))/(MAXIFS('Raw Data'!$G$2:$G$81,'Raw Data'!$C$2:$C$81,$C32)-MINIFS('Raw Data'!$G$2:$G$81,'Raw Data'!$C$2:$C$81,$C32))*100,50)</f>
        <v/>
      </c>
      <c r="E32" s="6">
        <f>IFERROR(('Raw Data'!E32-MINIFS('Raw Data'!$E$2:$E$81,'Raw Data'!$C$2:$C$81,$C32))/(MAXIFS('Raw Data'!$E$2:$E$81,'Raw Data'!$C$2:$C$81,$C32)-MINIFS('Raw Data'!$E$2:$E$81,'Raw Data'!$C$2:$C$81,$C32))*100,50)</f>
        <v/>
      </c>
      <c r="F32" s="6">
        <f>IFERROR(('Raw Data'!F32-MINIFS('Raw Data'!$F$2:$F$81,'Raw Data'!$C$2:$C$81,$C32))/(MAXIFS('Raw Data'!$F$2:$F$81,'Raw Data'!$C$2:$C$81,$C32)-MINIFS('Raw Data'!$F$2:$F$81,'Raw Data'!$C$2:$C$81,$C32))*100,50)</f>
        <v/>
      </c>
      <c r="G32" s="6">
        <f>IFERROR(('Raw Data'!K32-MINIFS('Raw Data'!$K$2:$K$81,'Raw Data'!$C$2:$C$81,$C32))/(MAXIFS('Raw Data'!$K$2:$K$81,'Raw Data'!$C$2:$C$81,$C32)-MINIFS('Raw Data'!$K$2:$K$81,'Raw Data'!$C$2:$C$81,$C32))*100,50)</f>
        <v/>
      </c>
      <c r="H32" s="6">
        <f>IFERROR(('Raw Data'!I32-MINIFS('Raw Data'!$I$2:$I$81,'Raw Data'!$C$2:$C$81,$C32))/(MAXIFS('Raw Data'!$I$2:$I$81,'Raw Data'!$C$2:$C$81,$C32)-MINIFS('Raw Data'!$I$2:$I$81,'Raw Data'!$C$2:$C$81,$C32))*100,50)</f>
        <v/>
      </c>
      <c r="I32" s="6">
        <f>100-IFERROR(('Raw Data'!H32-MINIFS('Raw Data'!$H$2:$H$81,'Raw Data'!$C$2:$C$81,$C32))/(MAXIFS('Raw Data'!$H$2:$H$81,'Raw Data'!$C$2:$C$81,$C32)-MINIFS('Raw Data'!$H$2:$H$81,'Raw Data'!$C$2:$C$81,$C32))*100,50)</f>
        <v/>
      </c>
      <c r="J32" s="6">
        <f>IFERROR(('Raw Data'!J32-MINIFS('Raw Data'!$J$2:$J$81,'Raw Data'!$C$2:$C$81,$C32))/(MAXIFS('Raw Data'!$J$2:$J$81,'Raw Data'!$C$2:$C$81,$C32)-MINIFS('Raw Data'!$J$2:$J$81,'Raw Data'!$C$2:$C$81,$C32))*100,50)</f>
        <v/>
      </c>
    </row>
    <row r="33">
      <c r="A33">
        <f>'Raw Data'!A33</f>
        <v/>
      </c>
      <c r="B33">
        <f>'Raw Data'!B33</f>
        <v/>
      </c>
      <c r="C33">
        <f>'Raw Data'!C33</f>
        <v/>
      </c>
      <c r="D33" s="6">
        <f>IFERROR(('Raw Data'!G33-MINIFS('Raw Data'!$G$2:$G$81,'Raw Data'!$C$2:$C$81,$C33))/(MAXIFS('Raw Data'!$G$2:$G$81,'Raw Data'!$C$2:$C$81,$C33)-MINIFS('Raw Data'!$G$2:$G$81,'Raw Data'!$C$2:$C$81,$C33))*100,50)</f>
        <v/>
      </c>
      <c r="E33" s="6">
        <f>IFERROR(('Raw Data'!E33-MINIFS('Raw Data'!$E$2:$E$81,'Raw Data'!$C$2:$C$81,$C33))/(MAXIFS('Raw Data'!$E$2:$E$81,'Raw Data'!$C$2:$C$81,$C33)-MINIFS('Raw Data'!$E$2:$E$81,'Raw Data'!$C$2:$C$81,$C33))*100,50)</f>
        <v/>
      </c>
      <c r="F33" s="6">
        <f>IFERROR(('Raw Data'!F33-MINIFS('Raw Data'!$F$2:$F$81,'Raw Data'!$C$2:$C$81,$C33))/(MAXIFS('Raw Data'!$F$2:$F$81,'Raw Data'!$C$2:$C$81,$C33)-MINIFS('Raw Data'!$F$2:$F$81,'Raw Data'!$C$2:$C$81,$C33))*100,50)</f>
        <v/>
      </c>
      <c r="G33" s="6">
        <f>IFERROR(('Raw Data'!K33-MINIFS('Raw Data'!$K$2:$K$81,'Raw Data'!$C$2:$C$81,$C33))/(MAXIFS('Raw Data'!$K$2:$K$81,'Raw Data'!$C$2:$C$81,$C33)-MINIFS('Raw Data'!$K$2:$K$81,'Raw Data'!$C$2:$C$81,$C33))*100,50)</f>
        <v/>
      </c>
      <c r="H33" s="6">
        <f>IFERROR(('Raw Data'!I33-MINIFS('Raw Data'!$I$2:$I$81,'Raw Data'!$C$2:$C$81,$C33))/(MAXIFS('Raw Data'!$I$2:$I$81,'Raw Data'!$C$2:$C$81,$C33)-MINIFS('Raw Data'!$I$2:$I$81,'Raw Data'!$C$2:$C$81,$C33))*100,50)</f>
        <v/>
      </c>
      <c r="I33" s="6">
        <f>100-IFERROR(('Raw Data'!H33-MINIFS('Raw Data'!$H$2:$H$81,'Raw Data'!$C$2:$C$81,$C33))/(MAXIFS('Raw Data'!$H$2:$H$81,'Raw Data'!$C$2:$C$81,$C33)-MINIFS('Raw Data'!$H$2:$H$81,'Raw Data'!$C$2:$C$81,$C33))*100,50)</f>
        <v/>
      </c>
      <c r="J33" s="6">
        <f>IFERROR(('Raw Data'!J33-MINIFS('Raw Data'!$J$2:$J$81,'Raw Data'!$C$2:$C$81,$C33))/(MAXIFS('Raw Data'!$J$2:$J$81,'Raw Data'!$C$2:$C$81,$C33)-MINIFS('Raw Data'!$J$2:$J$81,'Raw Data'!$C$2:$C$81,$C33))*100,50)</f>
        <v/>
      </c>
    </row>
    <row r="34">
      <c r="A34">
        <f>'Raw Data'!A34</f>
        <v/>
      </c>
      <c r="B34">
        <f>'Raw Data'!B34</f>
        <v/>
      </c>
      <c r="C34">
        <f>'Raw Data'!C34</f>
        <v/>
      </c>
      <c r="D34" s="6">
        <f>IFERROR(('Raw Data'!G34-MINIFS('Raw Data'!$G$2:$G$81,'Raw Data'!$C$2:$C$81,$C34))/(MAXIFS('Raw Data'!$G$2:$G$81,'Raw Data'!$C$2:$C$81,$C34)-MINIFS('Raw Data'!$G$2:$G$81,'Raw Data'!$C$2:$C$81,$C34))*100,50)</f>
        <v/>
      </c>
      <c r="E34" s="6">
        <f>IFERROR(('Raw Data'!E34-MINIFS('Raw Data'!$E$2:$E$81,'Raw Data'!$C$2:$C$81,$C34))/(MAXIFS('Raw Data'!$E$2:$E$81,'Raw Data'!$C$2:$C$81,$C34)-MINIFS('Raw Data'!$E$2:$E$81,'Raw Data'!$C$2:$C$81,$C34))*100,50)</f>
        <v/>
      </c>
      <c r="F34" s="6">
        <f>IFERROR(('Raw Data'!F34-MINIFS('Raw Data'!$F$2:$F$81,'Raw Data'!$C$2:$C$81,$C34))/(MAXIFS('Raw Data'!$F$2:$F$81,'Raw Data'!$C$2:$C$81,$C34)-MINIFS('Raw Data'!$F$2:$F$81,'Raw Data'!$C$2:$C$81,$C34))*100,50)</f>
        <v/>
      </c>
      <c r="G34" s="6">
        <f>IFERROR(('Raw Data'!K34-MINIFS('Raw Data'!$K$2:$K$81,'Raw Data'!$C$2:$C$81,$C34))/(MAXIFS('Raw Data'!$K$2:$K$81,'Raw Data'!$C$2:$C$81,$C34)-MINIFS('Raw Data'!$K$2:$K$81,'Raw Data'!$C$2:$C$81,$C34))*100,50)</f>
        <v/>
      </c>
      <c r="H34" s="6">
        <f>IFERROR(('Raw Data'!I34-MINIFS('Raw Data'!$I$2:$I$81,'Raw Data'!$C$2:$C$81,$C34))/(MAXIFS('Raw Data'!$I$2:$I$81,'Raw Data'!$C$2:$C$81,$C34)-MINIFS('Raw Data'!$I$2:$I$81,'Raw Data'!$C$2:$C$81,$C34))*100,50)</f>
        <v/>
      </c>
      <c r="I34" s="6">
        <f>100-IFERROR(('Raw Data'!H34-MINIFS('Raw Data'!$H$2:$H$81,'Raw Data'!$C$2:$C$81,$C34))/(MAXIFS('Raw Data'!$H$2:$H$81,'Raw Data'!$C$2:$C$81,$C34)-MINIFS('Raw Data'!$H$2:$H$81,'Raw Data'!$C$2:$C$81,$C34))*100,50)</f>
        <v/>
      </c>
      <c r="J34" s="6">
        <f>IFERROR(('Raw Data'!J34-MINIFS('Raw Data'!$J$2:$J$81,'Raw Data'!$C$2:$C$81,$C34))/(MAXIFS('Raw Data'!$J$2:$J$81,'Raw Data'!$C$2:$C$81,$C34)-MINIFS('Raw Data'!$J$2:$J$81,'Raw Data'!$C$2:$C$81,$C34))*100,50)</f>
        <v/>
      </c>
    </row>
    <row r="35">
      <c r="A35">
        <f>'Raw Data'!A35</f>
        <v/>
      </c>
      <c r="B35">
        <f>'Raw Data'!B35</f>
        <v/>
      </c>
      <c r="C35">
        <f>'Raw Data'!C35</f>
        <v/>
      </c>
      <c r="D35" s="6">
        <f>IFERROR(('Raw Data'!G35-MINIFS('Raw Data'!$G$2:$G$81,'Raw Data'!$C$2:$C$81,$C35))/(MAXIFS('Raw Data'!$G$2:$G$81,'Raw Data'!$C$2:$C$81,$C35)-MINIFS('Raw Data'!$G$2:$G$81,'Raw Data'!$C$2:$C$81,$C35))*100,50)</f>
        <v/>
      </c>
      <c r="E35" s="6">
        <f>IFERROR(('Raw Data'!E35-MINIFS('Raw Data'!$E$2:$E$81,'Raw Data'!$C$2:$C$81,$C35))/(MAXIFS('Raw Data'!$E$2:$E$81,'Raw Data'!$C$2:$C$81,$C35)-MINIFS('Raw Data'!$E$2:$E$81,'Raw Data'!$C$2:$C$81,$C35))*100,50)</f>
        <v/>
      </c>
      <c r="F35" s="6">
        <f>IFERROR(('Raw Data'!F35-MINIFS('Raw Data'!$F$2:$F$81,'Raw Data'!$C$2:$C$81,$C35))/(MAXIFS('Raw Data'!$F$2:$F$81,'Raw Data'!$C$2:$C$81,$C35)-MINIFS('Raw Data'!$F$2:$F$81,'Raw Data'!$C$2:$C$81,$C35))*100,50)</f>
        <v/>
      </c>
      <c r="G35" s="6">
        <f>IFERROR(('Raw Data'!K35-MINIFS('Raw Data'!$K$2:$K$81,'Raw Data'!$C$2:$C$81,$C35))/(MAXIFS('Raw Data'!$K$2:$K$81,'Raw Data'!$C$2:$C$81,$C35)-MINIFS('Raw Data'!$K$2:$K$81,'Raw Data'!$C$2:$C$81,$C35))*100,50)</f>
        <v/>
      </c>
      <c r="H35" s="6">
        <f>IFERROR(('Raw Data'!I35-MINIFS('Raw Data'!$I$2:$I$81,'Raw Data'!$C$2:$C$81,$C35))/(MAXIFS('Raw Data'!$I$2:$I$81,'Raw Data'!$C$2:$C$81,$C35)-MINIFS('Raw Data'!$I$2:$I$81,'Raw Data'!$C$2:$C$81,$C35))*100,50)</f>
        <v/>
      </c>
      <c r="I35" s="6">
        <f>100-IFERROR(('Raw Data'!H35-MINIFS('Raw Data'!$H$2:$H$81,'Raw Data'!$C$2:$C$81,$C35))/(MAXIFS('Raw Data'!$H$2:$H$81,'Raw Data'!$C$2:$C$81,$C35)-MINIFS('Raw Data'!$H$2:$H$81,'Raw Data'!$C$2:$C$81,$C35))*100,50)</f>
        <v/>
      </c>
      <c r="J35" s="6">
        <f>IFERROR(('Raw Data'!J35-MINIFS('Raw Data'!$J$2:$J$81,'Raw Data'!$C$2:$C$81,$C35))/(MAXIFS('Raw Data'!$J$2:$J$81,'Raw Data'!$C$2:$C$81,$C35)-MINIFS('Raw Data'!$J$2:$J$81,'Raw Data'!$C$2:$C$81,$C35))*100,50)</f>
        <v/>
      </c>
    </row>
    <row r="36">
      <c r="A36">
        <f>'Raw Data'!A36</f>
        <v/>
      </c>
      <c r="B36">
        <f>'Raw Data'!B36</f>
        <v/>
      </c>
      <c r="C36">
        <f>'Raw Data'!C36</f>
        <v/>
      </c>
      <c r="D36" s="6">
        <f>IFERROR(('Raw Data'!G36-MINIFS('Raw Data'!$G$2:$G$81,'Raw Data'!$C$2:$C$81,$C36))/(MAXIFS('Raw Data'!$G$2:$G$81,'Raw Data'!$C$2:$C$81,$C36)-MINIFS('Raw Data'!$G$2:$G$81,'Raw Data'!$C$2:$C$81,$C36))*100,50)</f>
        <v/>
      </c>
      <c r="E36" s="6">
        <f>IFERROR(('Raw Data'!E36-MINIFS('Raw Data'!$E$2:$E$81,'Raw Data'!$C$2:$C$81,$C36))/(MAXIFS('Raw Data'!$E$2:$E$81,'Raw Data'!$C$2:$C$81,$C36)-MINIFS('Raw Data'!$E$2:$E$81,'Raw Data'!$C$2:$C$81,$C36))*100,50)</f>
        <v/>
      </c>
      <c r="F36" s="6">
        <f>IFERROR(('Raw Data'!F36-MINIFS('Raw Data'!$F$2:$F$81,'Raw Data'!$C$2:$C$81,$C36))/(MAXIFS('Raw Data'!$F$2:$F$81,'Raw Data'!$C$2:$C$81,$C36)-MINIFS('Raw Data'!$F$2:$F$81,'Raw Data'!$C$2:$C$81,$C36))*100,50)</f>
        <v/>
      </c>
      <c r="G36" s="6">
        <f>IFERROR(('Raw Data'!K36-MINIFS('Raw Data'!$K$2:$K$81,'Raw Data'!$C$2:$C$81,$C36))/(MAXIFS('Raw Data'!$K$2:$K$81,'Raw Data'!$C$2:$C$81,$C36)-MINIFS('Raw Data'!$K$2:$K$81,'Raw Data'!$C$2:$C$81,$C36))*100,50)</f>
        <v/>
      </c>
      <c r="H36" s="6">
        <f>IFERROR(('Raw Data'!I36-MINIFS('Raw Data'!$I$2:$I$81,'Raw Data'!$C$2:$C$81,$C36))/(MAXIFS('Raw Data'!$I$2:$I$81,'Raw Data'!$C$2:$C$81,$C36)-MINIFS('Raw Data'!$I$2:$I$81,'Raw Data'!$C$2:$C$81,$C36))*100,50)</f>
        <v/>
      </c>
      <c r="I36" s="6">
        <f>100-IFERROR(('Raw Data'!H36-MINIFS('Raw Data'!$H$2:$H$81,'Raw Data'!$C$2:$C$81,$C36))/(MAXIFS('Raw Data'!$H$2:$H$81,'Raw Data'!$C$2:$C$81,$C36)-MINIFS('Raw Data'!$H$2:$H$81,'Raw Data'!$C$2:$C$81,$C36))*100,50)</f>
        <v/>
      </c>
      <c r="J36" s="6">
        <f>IFERROR(('Raw Data'!J36-MINIFS('Raw Data'!$J$2:$J$81,'Raw Data'!$C$2:$C$81,$C36))/(MAXIFS('Raw Data'!$J$2:$J$81,'Raw Data'!$C$2:$C$81,$C36)-MINIFS('Raw Data'!$J$2:$J$81,'Raw Data'!$C$2:$C$81,$C36))*100,50)</f>
        <v/>
      </c>
    </row>
    <row r="37">
      <c r="A37">
        <f>'Raw Data'!A37</f>
        <v/>
      </c>
      <c r="B37">
        <f>'Raw Data'!B37</f>
        <v/>
      </c>
      <c r="C37">
        <f>'Raw Data'!C37</f>
        <v/>
      </c>
      <c r="D37" s="6">
        <f>IFERROR(('Raw Data'!G37-MINIFS('Raw Data'!$G$2:$G$81,'Raw Data'!$C$2:$C$81,$C37))/(MAXIFS('Raw Data'!$G$2:$G$81,'Raw Data'!$C$2:$C$81,$C37)-MINIFS('Raw Data'!$G$2:$G$81,'Raw Data'!$C$2:$C$81,$C37))*100,50)</f>
        <v/>
      </c>
      <c r="E37" s="6">
        <f>IFERROR(('Raw Data'!E37-MINIFS('Raw Data'!$E$2:$E$81,'Raw Data'!$C$2:$C$81,$C37))/(MAXIFS('Raw Data'!$E$2:$E$81,'Raw Data'!$C$2:$C$81,$C37)-MINIFS('Raw Data'!$E$2:$E$81,'Raw Data'!$C$2:$C$81,$C37))*100,50)</f>
        <v/>
      </c>
      <c r="F37" s="6">
        <f>IFERROR(('Raw Data'!F37-MINIFS('Raw Data'!$F$2:$F$81,'Raw Data'!$C$2:$C$81,$C37))/(MAXIFS('Raw Data'!$F$2:$F$81,'Raw Data'!$C$2:$C$81,$C37)-MINIFS('Raw Data'!$F$2:$F$81,'Raw Data'!$C$2:$C$81,$C37))*100,50)</f>
        <v/>
      </c>
      <c r="G37" s="6">
        <f>IFERROR(('Raw Data'!K37-MINIFS('Raw Data'!$K$2:$K$81,'Raw Data'!$C$2:$C$81,$C37))/(MAXIFS('Raw Data'!$K$2:$K$81,'Raw Data'!$C$2:$C$81,$C37)-MINIFS('Raw Data'!$K$2:$K$81,'Raw Data'!$C$2:$C$81,$C37))*100,50)</f>
        <v/>
      </c>
      <c r="H37" s="6">
        <f>IFERROR(('Raw Data'!I37-MINIFS('Raw Data'!$I$2:$I$81,'Raw Data'!$C$2:$C$81,$C37))/(MAXIFS('Raw Data'!$I$2:$I$81,'Raw Data'!$C$2:$C$81,$C37)-MINIFS('Raw Data'!$I$2:$I$81,'Raw Data'!$C$2:$C$81,$C37))*100,50)</f>
        <v/>
      </c>
      <c r="I37" s="6">
        <f>100-IFERROR(('Raw Data'!H37-MINIFS('Raw Data'!$H$2:$H$81,'Raw Data'!$C$2:$C$81,$C37))/(MAXIFS('Raw Data'!$H$2:$H$81,'Raw Data'!$C$2:$C$81,$C37)-MINIFS('Raw Data'!$H$2:$H$81,'Raw Data'!$C$2:$C$81,$C37))*100,50)</f>
        <v/>
      </c>
      <c r="J37" s="6">
        <f>IFERROR(('Raw Data'!J37-MINIFS('Raw Data'!$J$2:$J$81,'Raw Data'!$C$2:$C$81,$C37))/(MAXIFS('Raw Data'!$J$2:$J$81,'Raw Data'!$C$2:$C$81,$C37)-MINIFS('Raw Data'!$J$2:$J$81,'Raw Data'!$C$2:$C$81,$C37))*100,50)</f>
        <v/>
      </c>
    </row>
    <row r="38">
      <c r="A38">
        <f>'Raw Data'!A38</f>
        <v/>
      </c>
      <c r="B38">
        <f>'Raw Data'!B38</f>
        <v/>
      </c>
      <c r="C38">
        <f>'Raw Data'!C38</f>
        <v/>
      </c>
      <c r="D38" s="6">
        <f>IFERROR(('Raw Data'!G38-MINIFS('Raw Data'!$G$2:$G$81,'Raw Data'!$C$2:$C$81,$C38))/(MAXIFS('Raw Data'!$G$2:$G$81,'Raw Data'!$C$2:$C$81,$C38)-MINIFS('Raw Data'!$G$2:$G$81,'Raw Data'!$C$2:$C$81,$C38))*100,50)</f>
        <v/>
      </c>
      <c r="E38" s="6">
        <f>IFERROR(('Raw Data'!E38-MINIFS('Raw Data'!$E$2:$E$81,'Raw Data'!$C$2:$C$81,$C38))/(MAXIFS('Raw Data'!$E$2:$E$81,'Raw Data'!$C$2:$C$81,$C38)-MINIFS('Raw Data'!$E$2:$E$81,'Raw Data'!$C$2:$C$81,$C38))*100,50)</f>
        <v/>
      </c>
      <c r="F38" s="6">
        <f>IFERROR(('Raw Data'!F38-MINIFS('Raw Data'!$F$2:$F$81,'Raw Data'!$C$2:$C$81,$C38))/(MAXIFS('Raw Data'!$F$2:$F$81,'Raw Data'!$C$2:$C$81,$C38)-MINIFS('Raw Data'!$F$2:$F$81,'Raw Data'!$C$2:$C$81,$C38))*100,50)</f>
        <v/>
      </c>
      <c r="G38" s="6">
        <f>IFERROR(('Raw Data'!K38-MINIFS('Raw Data'!$K$2:$K$81,'Raw Data'!$C$2:$C$81,$C38))/(MAXIFS('Raw Data'!$K$2:$K$81,'Raw Data'!$C$2:$C$81,$C38)-MINIFS('Raw Data'!$K$2:$K$81,'Raw Data'!$C$2:$C$81,$C38))*100,50)</f>
        <v/>
      </c>
      <c r="H38" s="6">
        <f>IFERROR(('Raw Data'!I38-MINIFS('Raw Data'!$I$2:$I$81,'Raw Data'!$C$2:$C$81,$C38))/(MAXIFS('Raw Data'!$I$2:$I$81,'Raw Data'!$C$2:$C$81,$C38)-MINIFS('Raw Data'!$I$2:$I$81,'Raw Data'!$C$2:$C$81,$C38))*100,50)</f>
        <v/>
      </c>
      <c r="I38" s="6">
        <f>100-IFERROR(('Raw Data'!H38-MINIFS('Raw Data'!$H$2:$H$81,'Raw Data'!$C$2:$C$81,$C38))/(MAXIFS('Raw Data'!$H$2:$H$81,'Raw Data'!$C$2:$C$81,$C38)-MINIFS('Raw Data'!$H$2:$H$81,'Raw Data'!$C$2:$C$81,$C38))*100,50)</f>
        <v/>
      </c>
      <c r="J38" s="6">
        <f>IFERROR(('Raw Data'!J38-MINIFS('Raw Data'!$J$2:$J$81,'Raw Data'!$C$2:$C$81,$C38))/(MAXIFS('Raw Data'!$J$2:$J$81,'Raw Data'!$C$2:$C$81,$C38)-MINIFS('Raw Data'!$J$2:$J$81,'Raw Data'!$C$2:$C$81,$C38))*100,50)</f>
        <v/>
      </c>
    </row>
    <row r="39">
      <c r="A39">
        <f>'Raw Data'!A39</f>
        <v/>
      </c>
      <c r="B39">
        <f>'Raw Data'!B39</f>
        <v/>
      </c>
      <c r="C39">
        <f>'Raw Data'!C39</f>
        <v/>
      </c>
      <c r="D39" s="6">
        <f>IFERROR(('Raw Data'!G39-MINIFS('Raw Data'!$G$2:$G$81,'Raw Data'!$C$2:$C$81,$C39))/(MAXIFS('Raw Data'!$G$2:$G$81,'Raw Data'!$C$2:$C$81,$C39)-MINIFS('Raw Data'!$G$2:$G$81,'Raw Data'!$C$2:$C$81,$C39))*100,50)</f>
        <v/>
      </c>
      <c r="E39" s="6">
        <f>IFERROR(('Raw Data'!E39-MINIFS('Raw Data'!$E$2:$E$81,'Raw Data'!$C$2:$C$81,$C39))/(MAXIFS('Raw Data'!$E$2:$E$81,'Raw Data'!$C$2:$C$81,$C39)-MINIFS('Raw Data'!$E$2:$E$81,'Raw Data'!$C$2:$C$81,$C39))*100,50)</f>
        <v/>
      </c>
      <c r="F39" s="6">
        <f>IFERROR(('Raw Data'!F39-MINIFS('Raw Data'!$F$2:$F$81,'Raw Data'!$C$2:$C$81,$C39))/(MAXIFS('Raw Data'!$F$2:$F$81,'Raw Data'!$C$2:$C$81,$C39)-MINIFS('Raw Data'!$F$2:$F$81,'Raw Data'!$C$2:$C$81,$C39))*100,50)</f>
        <v/>
      </c>
      <c r="G39" s="6">
        <f>IFERROR(('Raw Data'!K39-MINIFS('Raw Data'!$K$2:$K$81,'Raw Data'!$C$2:$C$81,$C39))/(MAXIFS('Raw Data'!$K$2:$K$81,'Raw Data'!$C$2:$C$81,$C39)-MINIFS('Raw Data'!$K$2:$K$81,'Raw Data'!$C$2:$C$81,$C39))*100,50)</f>
        <v/>
      </c>
      <c r="H39" s="6">
        <f>IFERROR(('Raw Data'!I39-MINIFS('Raw Data'!$I$2:$I$81,'Raw Data'!$C$2:$C$81,$C39))/(MAXIFS('Raw Data'!$I$2:$I$81,'Raw Data'!$C$2:$C$81,$C39)-MINIFS('Raw Data'!$I$2:$I$81,'Raw Data'!$C$2:$C$81,$C39))*100,50)</f>
        <v/>
      </c>
      <c r="I39" s="6">
        <f>100-IFERROR(('Raw Data'!H39-MINIFS('Raw Data'!$H$2:$H$81,'Raw Data'!$C$2:$C$81,$C39))/(MAXIFS('Raw Data'!$H$2:$H$81,'Raw Data'!$C$2:$C$81,$C39)-MINIFS('Raw Data'!$H$2:$H$81,'Raw Data'!$C$2:$C$81,$C39))*100,50)</f>
        <v/>
      </c>
      <c r="J39" s="6">
        <f>IFERROR(('Raw Data'!J39-MINIFS('Raw Data'!$J$2:$J$81,'Raw Data'!$C$2:$C$81,$C39))/(MAXIFS('Raw Data'!$J$2:$J$81,'Raw Data'!$C$2:$C$81,$C39)-MINIFS('Raw Data'!$J$2:$J$81,'Raw Data'!$C$2:$C$81,$C39))*100,50)</f>
        <v/>
      </c>
    </row>
    <row r="40">
      <c r="A40">
        <f>'Raw Data'!A40</f>
        <v/>
      </c>
      <c r="B40">
        <f>'Raw Data'!B40</f>
        <v/>
      </c>
      <c r="C40">
        <f>'Raw Data'!C40</f>
        <v/>
      </c>
      <c r="D40" s="6">
        <f>IFERROR(('Raw Data'!G40-MINIFS('Raw Data'!$G$2:$G$81,'Raw Data'!$C$2:$C$81,$C40))/(MAXIFS('Raw Data'!$G$2:$G$81,'Raw Data'!$C$2:$C$81,$C40)-MINIFS('Raw Data'!$G$2:$G$81,'Raw Data'!$C$2:$C$81,$C40))*100,50)</f>
        <v/>
      </c>
      <c r="E40" s="6">
        <f>IFERROR(('Raw Data'!E40-MINIFS('Raw Data'!$E$2:$E$81,'Raw Data'!$C$2:$C$81,$C40))/(MAXIFS('Raw Data'!$E$2:$E$81,'Raw Data'!$C$2:$C$81,$C40)-MINIFS('Raw Data'!$E$2:$E$81,'Raw Data'!$C$2:$C$81,$C40))*100,50)</f>
        <v/>
      </c>
      <c r="F40" s="6">
        <f>IFERROR(('Raw Data'!F40-MINIFS('Raw Data'!$F$2:$F$81,'Raw Data'!$C$2:$C$81,$C40))/(MAXIFS('Raw Data'!$F$2:$F$81,'Raw Data'!$C$2:$C$81,$C40)-MINIFS('Raw Data'!$F$2:$F$81,'Raw Data'!$C$2:$C$81,$C40))*100,50)</f>
        <v/>
      </c>
      <c r="G40" s="6">
        <f>IFERROR(('Raw Data'!K40-MINIFS('Raw Data'!$K$2:$K$81,'Raw Data'!$C$2:$C$81,$C40))/(MAXIFS('Raw Data'!$K$2:$K$81,'Raw Data'!$C$2:$C$81,$C40)-MINIFS('Raw Data'!$K$2:$K$81,'Raw Data'!$C$2:$C$81,$C40))*100,50)</f>
        <v/>
      </c>
      <c r="H40" s="6">
        <f>IFERROR(('Raw Data'!I40-MINIFS('Raw Data'!$I$2:$I$81,'Raw Data'!$C$2:$C$81,$C40))/(MAXIFS('Raw Data'!$I$2:$I$81,'Raw Data'!$C$2:$C$81,$C40)-MINIFS('Raw Data'!$I$2:$I$81,'Raw Data'!$C$2:$C$81,$C40))*100,50)</f>
        <v/>
      </c>
      <c r="I40" s="6">
        <f>100-IFERROR(('Raw Data'!H40-MINIFS('Raw Data'!$H$2:$H$81,'Raw Data'!$C$2:$C$81,$C40))/(MAXIFS('Raw Data'!$H$2:$H$81,'Raw Data'!$C$2:$C$81,$C40)-MINIFS('Raw Data'!$H$2:$H$81,'Raw Data'!$C$2:$C$81,$C40))*100,50)</f>
        <v/>
      </c>
      <c r="J40" s="6">
        <f>IFERROR(('Raw Data'!J40-MINIFS('Raw Data'!$J$2:$J$81,'Raw Data'!$C$2:$C$81,$C40))/(MAXIFS('Raw Data'!$J$2:$J$81,'Raw Data'!$C$2:$C$81,$C40)-MINIFS('Raw Data'!$J$2:$J$81,'Raw Data'!$C$2:$C$81,$C40))*100,50)</f>
        <v/>
      </c>
    </row>
    <row r="41">
      <c r="A41">
        <f>'Raw Data'!A41</f>
        <v/>
      </c>
      <c r="B41">
        <f>'Raw Data'!B41</f>
        <v/>
      </c>
      <c r="C41">
        <f>'Raw Data'!C41</f>
        <v/>
      </c>
      <c r="D41" s="6">
        <f>IFERROR(('Raw Data'!G41-MINIFS('Raw Data'!$G$2:$G$81,'Raw Data'!$C$2:$C$81,$C41))/(MAXIFS('Raw Data'!$G$2:$G$81,'Raw Data'!$C$2:$C$81,$C41)-MINIFS('Raw Data'!$G$2:$G$81,'Raw Data'!$C$2:$C$81,$C41))*100,50)</f>
        <v/>
      </c>
      <c r="E41" s="6">
        <f>IFERROR(('Raw Data'!E41-MINIFS('Raw Data'!$E$2:$E$81,'Raw Data'!$C$2:$C$81,$C41))/(MAXIFS('Raw Data'!$E$2:$E$81,'Raw Data'!$C$2:$C$81,$C41)-MINIFS('Raw Data'!$E$2:$E$81,'Raw Data'!$C$2:$C$81,$C41))*100,50)</f>
        <v/>
      </c>
      <c r="F41" s="6">
        <f>IFERROR(('Raw Data'!F41-MINIFS('Raw Data'!$F$2:$F$81,'Raw Data'!$C$2:$C$81,$C41))/(MAXIFS('Raw Data'!$F$2:$F$81,'Raw Data'!$C$2:$C$81,$C41)-MINIFS('Raw Data'!$F$2:$F$81,'Raw Data'!$C$2:$C$81,$C41))*100,50)</f>
        <v/>
      </c>
      <c r="G41" s="6">
        <f>IFERROR(('Raw Data'!K41-MINIFS('Raw Data'!$K$2:$K$81,'Raw Data'!$C$2:$C$81,$C41))/(MAXIFS('Raw Data'!$K$2:$K$81,'Raw Data'!$C$2:$C$81,$C41)-MINIFS('Raw Data'!$K$2:$K$81,'Raw Data'!$C$2:$C$81,$C41))*100,50)</f>
        <v/>
      </c>
      <c r="H41" s="6">
        <f>IFERROR(('Raw Data'!I41-MINIFS('Raw Data'!$I$2:$I$81,'Raw Data'!$C$2:$C$81,$C41))/(MAXIFS('Raw Data'!$I$2:$I$81,'Raw Data'!$C$2:$C$81,$C41)-MINIFS('Raw Data'!$I$2:$I$81,'Raw Data'!$C$2:$C$81,$C41))*100,50)</f>
        <v/>
      </c>
      <c r="I41" s="6">
        <f>100-IFERROR(('Raw Data'!H41-MINIFS('Raw Data'!$H$2:$H$81,'Raw Data'!$C$2:$C$81,$C41))/(MAXIFS('Raw Data'!$H$2:$H$81,'Raw Data'!$C$2:$C$81,$C41)-MINIFS('Raw Data'!$H$2:$H$81,'Raw Data'!$C$2:$C$81,$C41))*100,50)</f>
        <v/>
      </c>
      <c r="J41" s="6">
        <f>IFERROR(('Raw Data'!J41-MINIFS('Raw Data'!$J$2:$J$81,'Raw Data'!$C$2:$C$81,$C41))/(MAXIFS('Raw Data'!$J$2:$J$81,'Raw Data'!$C$2:$C$81,$C41)-MINIFS('Raw Data'!$J$2:$J$81,'Raw Data'!$C$2:$C$81,$C41))*100,50)</f>
        <v/>
      </c>
    </row>
    <row r="42">
      <c r="A42">
        <f>'Raw Data'!A42</f>
        <v/>
      </c>
      <c r="B42">
        <f>'Raw Data'!B42</f>
        <v/>
      </c>
      <c r="C42">
        <f>'Raw Data'!C42</f>
        <v/>
      </c>
      <c r="D42" s="6">
        <f>IFERROR(('Raw Data'!G42-MINIFS('Raw Data'!$G$2:$G$81,'Raw Data'!$C$2:$C$81,$C42))/(MAXIFS('Raw Data'!$G$2:$G$81,'Raw Data'!$C$2:$C$81,$C42)-MINIFS('Raw Data'!$G$2:$G$81,'Raw Data'!$C$2:$C$81,$C42))*100,50)</f>
        <v/>
      </c>
      <c r="E42" s="6">
        <f>IFERROR(('Raw Data'!E42-MINIFS('Raw Data'!$E$2:$E$81,'Raw Data'!$C$2:$C$81,$C42))/(MAXIFS('Raw Data'!$E$2:$E$81,'Raw Data'!$C$2:$C$81,$C42)-MINIFS('Raw Data'!$E$2:$E$81,'Raw Data'!$C$2:$C$81,$C42))*100,50)</f>
        <v/>
      </c>
      <c r="F42" s="6">
        <f>IFERROR(('Raw Data'!F42-MINIFS('Raw Data'!$F$2:$F$81,'Raw Data'!$C$2:$C$81,$C42))/(MAXIFS('Raw Data'!$F$2:$F$81,'Raw Data'!$C$2:$C$81,$C42)-MINIFS('Raw Data'!$F$2:$F$81,'Raw Data'!$C$2:$C$81,$C42))*100,50)</f>
        <v/>
      </c>
      <c r="G42" s="6">
        <f>IFERROR(('Raw Data'!K42-MINIFS('Raw Data'!$K$2:$K$81,'Raw Data'!$C$2:$C$81,$C42))/(MAXIFS('Raw Data'!$K$2:$K$81,'Raw Data'!$C$2:$C$81,$C42)-MINIFS('Raw Data'!$K$2:$K$81,'Raw Data'!$C$2:$C$81,$C42))*100,50)</f>
        <v/>
      </c>
      <c r="H42" s="6">
        <f>IFERROR(('Raw Data'!I42-MINIFS('Raw Data'!$I$2:$I$81,'Raw Data'!$C$2:$C$81,$C42))/(MAXIFS('Raw Data'!$I$2:$I$81,'Raw Data'!$C$2:$C$81,$C42)-MINIFS('Raw Data'!$I$2:$I$81,'Raw Data'!$C$2:$C$81,$C42))*100,50)</f>
        <v/>
      </c>
      <c r="I42" s="6">
        <f>100-IFERROR(('Raw Data'!H42-MINIFS('Raw Data'!$H$2:$H$81,'Raw Data'!$C$2:$C$81,$C42))/(MAXIFS('Raw Data'!$H$2:$H$81,'Raw Data'!$C$2:$C$81,$C42)-MINIFS('Raw Data'!$H$2:$H$81,'Raw Data'!$C$2:$C$81,$C42))*100,50)</f>
        <v/>
      </c>
      <c r="J42" s="6">
        <f>IFERROR(('Raw Data'!J42-MINIFS('Raw Data'!$J$2:$J$81,'Raw Data'!$C$2:$C$81,$C42))/(MAXIFS('Raw Data'!$J$2:$J$81,'Raw Data'!$C$2:$C$81,$C42)-MINIFS('Raw Data'!$J$2:$J$81,'Raw Data'!$C$2:$C$81,$C42))*100,50)</f>
        <v/>
      </c>
    </row>
    <row r="43">
      <c r="A43">
        <f>'Raw Data'!A43</f>
        <v/>
      </c>
      <c r="B43">
        <f>'Raw Data'!B43</f>
        <v/>
      </c>
      <c r="C43">
        <f>'Raw Data'!C43</f>
        <v/>
      </c>
      <c r="D43" s="6">
        <f>IFERROR(('Raw Data'!G43-MINIFS('Raw Data'!$G$2:$G$81,'Raw Data'!$C$2:$C$81,$C43))/(MAXIFS('Raw Data'!$G$2:$G$81,'Raw Data'!$C$2:$C$81,$C43)-MINIFS('Raw Data'!$G$2:$G$81,'Raw Data'!$C$2:$C$81,$C43))*100,50)</f>
        <v/>
      </c>
      <c r="E43" s="6">
        <f>IFERROR(('Raw Data'!E43-MINIFS('Raw Data'!$E$2:$E$81,'Raw Data'!$C$2:$C$81,$C43))/(MAXIFS('Raw Data'!$E$2:$E$81,'Raw Data'!$C$2:$C$81,$C43)-MINIFS('Raw Data'!$E$2:$E$81,'Raw Data'!$C$2:$C$81,$C43))*100,50)</f>
        <v/>
      </c>
      <c r="F43" s="6">
        <f>IFERROR(('Raw Data'!F43-MINIFS('Raw Data'!$F$2:$F$81,'Raw Data'!$C$2:$C$81,$C43))/(MAXIFS('Raw Data'!$F$2:$F$81,'Raw Data'!$C$2:$C$81,$C43)-MINIFS('Raw Data'!$F$2:$F$81,'Raw Data'!$C$2:$C$81,$C43))*100,50)</f>
        <v/>
      </c>
      <c r="G43" s="6">
        <f>IFERROR(('Raw Data'!K43-MINIFS('Raw Data'!$K$2:$K$81,'Raw Data'!$C$2:$C$81,$C43))/(MAXIFS('Raw Data'!$K$2:$K$81,'Raw Data'!$C$2:$C$81,$C43)-MINIFS('Raw Data'!$K$2:$K$81,'Raw Data'!$C$2:$C$81,$C43))*100,50)</f>
        <v/>
      </c>
      <c r="H43" s="6">
        <f>IFERROR(('Raw Data'!I43-MINIFS('Raw Data'!$I$2:$I$81,'Raw Data'!$C$2:$C$81,$C43))/(MAXIFS('Raw Data'!$I$2:$I$81,'Raw Data'!$C$2:$C$81,$C43)-MINIFS('Raw Data'!$I$2:$I$81,'Raw Data'!$C$2:$C$81,$C43))*100,50)</f>
        <v/>
      </c>
      <c r="I43" s="6">
        <f>100-IFERROR(('Raw Data'!H43-MINIFS('Raw Data'!$H$2:$H$81,'Raw Data'!$C$2:$C$81,$C43))/(MAXIFS('Raw Data'!$H$2:$H$81,'Raw Data'!$C$2:$C$81,$C43)-MINIFS('Raw Data'!$H$2:$H$81,'Raw Data'!$C$2:$C$81,$C43))*100,50)</f>
        <v/>
      </c>
      <c r="J43" s="6">
        <f>IFERROR(('Raw Data'!J43-MINIFS('Raw Data'!$J$2:$J$81,'Raw Data'!$C$2:$C$81,$C43))/(MAXIFS('Raw Data'!$J$2:$J$81,'Raw Data'!$C$2:$C$81,$C43)-MINIFS('Raw Data'!$J$2:$J$81,'Raw Data'!$C$2:$C$81,$C43))*100,50)</f>
        <v/>
      </c>
    </row>
    <row r="44">
      <c r="A44">
        <f>'Raw Data'!A44</f>
        <v/>
      </c>
      <c r="B44">
        <f>'Raw Data'!B44</f>
        <v/>
      </c>
      <c r="C44">
        <f>'Raw Data'!C44</f>
        <v/>
      </c>
      <c r="D44" s="6">
        <f>IFERROR(('Raw Data'!G44-MINIFS('Raw Data'!$G$2:$G$81,'Raw Data'!$C$2:$C$81,$C44))/(MAXIFS('Raw Data'!$G$2:$G$81,'Raw Data'!$C$2:$C$81,$C44)-MINIFS('Raw Data'!$G$2:$G$81,'Raw Data'!$C$2:$C$81,$C44))*100,50)</f>
        <v/>
      </c>
      <c r="E44" s="6">
        <f>IFERROR(('Raw Data'!E44-MINIFS('Raw Data'!$E$2:$E$81,'Raw Data'!$C$2:$C$81,$C44))/(MAXIFS('Raw Data'!$E$2:$E$81,'Raw Data'!$C$2:$C$81,$C44)-MINIFS('Raw Data'!$E$2:$E$81,'Raw Data'!$C$2:$C$81,$C44))*100,50)</f>
        <v/>
      </c>
      <c r="F44" s="6">
        <f>IFERROR(('Raw Data'!F44-MINIFS('Raw Data'!$F$2:$F$81,'Raw Data'!$C$2:$C$81,$C44))/(MAXIFS('Raw Data'!$F$2:$F$81,'Raw Data'!$C$2:$C$81,$C44)-MINIFS('Raw Data'!$F$2:$F$81,'Raw Data'!$C$2:$C$81,$C44))*100,50)</f>
        <v/>
      </c>
      <c r="G44" s="6">
        <f>IFERROR(('Raw Data'!K44-MINIFS('Raw Data'!$K$2:$K$81,'Raw Data'!$C$2:$C$81,$C44))/(MAXIFS('Raw Data'!$K$2:$K$81,'Raw Data'!$C$2:$C$81,$C44)-MINIFS('Raw Data'!$K$2:$K$81,'Raw Data'!$C$2:$C$81,$C44))*100,50)</f>
        <v/>
      </c>
      <c r="H44" s="6">
        <f>IFERROR(('Raw Data'!I44-MINIFS('Raw Data'!$I$2:$I$81,'Raw Data'!$C$2:$C$81,$C44))/(MAXIFS('Raw Data'!$I$2:$I$81,'Raw Data'!$C$2:$C$81,$C44)-MINIFS('Raw Data'!$I$2:$I$81,'Raw Data'!$C$2:$C$81,$C44))*100,50)</f>
        <v/>
      </c>
      <c r="I44" s="6">
        <f>100-IFERROR(('Raw Data'!H44-MINIFS('Raw Data'!$H$2:$H$81,'Raw Data'!$C$2:$C$81,$C44))/(MAXIFS('Raw Data'!$H$2:$H$81,'Raw Data'!$C$2:$C$81,$C44)-MINIFS('Raw Data'!$H$2:$H$81,'Raw Data'!$C$2:$C$81,$C44))*100,50)</f>
        <v/>
      </c>
      <c r="J44" s="6">
        <f>IFERROR(('Raw Data'!J44-MINIFS('Raw Data'!$J$2:$J$81,'Raw Data'!$C$2:$C$81,$C44))/(MAXIFS('Raw Data'!$J$2:$J$81,'Raw Data'!$C$2:$C$81,$C44)-MINIFS('Raw Data'!$J$2:$J$81,'Raw Data'!$C$2:$C$81,$C44))*100,50)</f>
        <v/>
      </c>
    </row>
    <row r="45">
      <c r="A45">
        <f>'Raw Data'!A45</f>
        <v/>
      </c>
      <c r="B45">
        <f>'Raw Data'!B45</f>
        <v/>
      </c>
      <c r="C45">
        <f>'Raw Data'!C45</f>
        <v/>
      </c>
      <c r="D45" s="6">
        <f>IFERROR(('Raw Data'!G45-MINIFS('Raw Data'!$G$2:$G$81,'Raw Data'!$C$2:$C$81,$C45))/(MAXIFS('Raw Data'!$G$2:$G$81,'Raw Data'!$C$2:$C$81,$C45)-MINIFS('Raw Data'!$G$2:$G$81,'Raw Data'!$C$2:$C$81,$C45))*100,50)</f>
        <v/>
      </c>
      <c r="E45" s="6">
        <f>IFERROR(('Raw Data'!E45-MINIFS('Raw Data'!$E$2:$E$81,'Raw Data'!$C$2:$C$81,$C45))/(MAXIFS('Raw Data'!$E$2:$E$81,'Raw Data'!$C$2:$C$81,$C45)-MINIFS('Raw Data'!$E$2:$E$81,'Raw Data'!$C$2:$C$81,$C45))*100,50)</f>
        <v/>
      </c>
      <c r="F45" s="6">
        <f>IFERROR(('Raw Data'!F45-MINIFS('Raw Data'!$F$2:$F$81,'Raw Data'!$C$2:$C$81,$C45))/(MAXIFS('Raw Data'!$F$2:$F$81,'Raw Data'!$C$2:$C$81,$C45)-MINIFS('Raw Data'!$F$2:$F$81,'Raw Data'!$C$2:$C$81,$C45))*100,50)</f>
        <v/>
      </c>
      <c r="G45" s="6">
        <f>IFERROR(('Raw Data'!K45-MINIFS('Raw Data'!$K$2:$K$81,'Raw Data'!$C$2:$C$81,$C45))/(MAXIFS('Raw Data'!$K$2:$K$81,'Raw Data'!$C$2:$C$81,$C45)-MINIFS('Raw Data'!$K$2:$K$81,'Raw Data'!$C$2:$C$81,$C45))*100,50)</f>
        <v/>
      </c>
      <c r="H45" s="6">
        <f>IFERROR(('Raw Data'!I45-MINIFS('Raw Data'!$I$2:$I$81,'Raw Data'!$C$2:$C$81,$C45))/(MAXIFS('Raw Data'!$I$2:$I$81,'Raw Data'!$C$2:$C$81,$C45)-MINIFS('Raw Data'!$I$2:$I$81,'Raw Data'!$C$2:$C$81,$C45))*100,50)</f>
        <v/>
      </c>
      <c r="I45" s="6">
        <f>100-IFERROR(('Raw Data'!H45-MINIFS('Raw Data'!$H$2:$H$81,'Raw Data'!$C$2:$C$81,$C45))/(MAXIFS('Raw Data'!$H$2:$H$81,'Raw Data'!$C$2:$C$81,$C45)-MINIFS('Raw Data'!$H$2:$H$81,'Raw Data'!$C$2:$C$81,$C45))*100,50)</f>
        <v/>
      </c>
      <c r="J45" s="6">
        <f>IFERROR(('Raw Data'!J45-MINIFS('Raw Data'!$J$2:$J$81,'Raw Data'!$C$2:$C$81,$C45))/(MAXIFS('Raw Data'!$J$2:$J$81,'Raw Data'!$C$2:$C$81,$C45)-MINIFS('Raw Data'!$J$2:$J$81,'Raw Data'!$C$2:$C$81,$C45))*100,50)</f>
        <v/>
      </c>
    </row>
    <row r="46">
      <c r="A46">
        <f>'Raw Data'!A46</f>
        <v/>
      </c>
      <c r="B46">
        <f>'Raw Data'!B46</f>
        <v/>
      </c>
      <c r="C46">
        <f>'Raw Data'!C46</f>
        <v/>
      </c>
      <c r="D46" s="6">
        <f>IFERROR(('Raw Data'!G46-MINIFS('Raw Data'!$G$2:$G$81,'Raw Data'!$C$2:$C$81,$C46))/(MAXIFS('Raw Data'!$G$2:$G$81,'Raw Data'!$C$2:$C$81,$C46)-MINIFS('Raw Data'!$G$2:$G$81,'Raw Data'!$C$2:$C$81,$C46))*100,50)</f>
        <v/>
      </c>
      <c r="E46" s="6">
        <f>IFERROR(('Raw Data'!E46-MINIFS('Raw Data'!$E$2:$E$81,'Raw Data'!$C$2:$C$81,$C46))/(MAXIFS('Raw Data'!$E$2:$E$81,'Raw Data'!$C$2:$C$81,$C46)-MINIFS('Raw Data'!$E$2:$E$81,'Raw Data'!$C$2:$C$81,$C46))*100,50)</f>
        <v/>
      </c>
      <c r="F46" s="6">
        <f>IFERROR(('Raw Data'!F46-MINIFS('Raw Data'!$F$2:$F$81,'Raw Data'!$C$2:$C$81,$C46))/(MAXIFS('Raw Data'!$F$2:$F$81,'Raw Data'!$C$2:$C$81,$C46)-MINIFS('Raw Data'!$F$2:$F$81,'Raw Data'!$C$2:$C$81,$C46))*100,50)</f>
        <v/>
      </c>
      <c r="G46" s="6">
        <f>IFERROR(('Raw Data'!K46-MINIFS('Raw Data'!$K$2:$K$81,'Raw Data'!$C$2:$C$81,$C46))/(MAXIFS('Raw Data'!$K$2:$K$81,'Raw Data'!$C$2:$C$81,$C46)-MINIFS('Raw Data'!$K$2:$K$81,'Raw Data'!$C$2:$C$81,$C46))*100,50)</f>
        <v/>
      </c>
      <c r="H46" s="6">
        <f>IFERROR(('Raw Data'!I46-MINIFS('Raw Data'!$I$2:$I$81,'Raw Data'!$C$2:$C$81,$C46))/(MAXIFS('Raw Data'!$I$2:$I$81,'Raw Data'!$C$2:$C$81,$C46)-MINIFS('Raw Data'!$I$2:$I$81,'Raw Data'!$C$2:$C$81,$C46))*100,50)</f>
        <v/>
      </c>
      <c r="I46" s="6">
        <f>100-IFERROR(('Raw Data'!H46-MINIFS('Raw Data'!$H$2:$H$81,'Raw Data'!$C$2:$C$81,$C46))/(MAXIFS('Raw Data'!$H$2:$H$81,'Raw Data'!$C$2:$C$81,$C46)-MINIFS('Raw Data'!$H$2:$H$81,'Raw Data'!$C$2:$C$81,$C46))*100,50)</f>
        <v/>
      </c>
      <c r="J46" s="6">
        <f>IFERROR(('Raw Data'!J46-MINIFS('Raw Data'!$J$2:$J$81,'Raw Data'!$C$2:$C$81,$C46))/(MAXIFS('Raw Data'!$J$2:$J$81,'Raw Data'!$C$2:$C$81,$C46)-MINIFS('Raw Data'!$J$2:$J$81,'Raw Data'!$C$2:$C$81,$C46))*100,50)</f>
        <v/>
      </c>
    </row>
    <row r="47">
      <c r="A47">
        <f>'Raw Data'!A47</f>
        <v/>
      </c>
      <c r="B47">
        <f>'Raw Data'!B47</f>
        <v/>
      </c>
      <c r="C47">
        <f>'Raw Data'!C47</f>
        <v/>
      </c>
      <c r="D47" s="6">
        <f>IFERROR(('Raw Data'!G47-MINIFS('Raw Data'!$G$2:$G$81,'Raw Data'!$C$2:$C$81,$C47))/(MAXIFS('Raw Data'!$G$2:$G$81,'Raw Data'!$C$2:$C$81,$C47)-MINIFS('Raw Data'!$G$2:$G$81,'Raw Data'!$C$2:$C$81,$C47))*100,50)</f>
        <v/>
      </c>
      <c r="E47" s="6">
        <f>IFERROR(('Raw Data'!E47-MINIFS('Raw Data'!$E$2:$E$81,'Raw Data'!$C$2:$C$81,$C47))/(MAXIFS('Raw Data'!$E$2:$E$81,'Raw Data'!$C$2:$C$81,$C47)-MINIFS('Raw Data'!$E$2:$E$81,'Raw Data'!$C$2:$C$81,$C47))*100,50)</f>
        <v/>
      </c>
      <c r="F47" s="6">
        <f>IFERROR(('Raw Data'!F47-MINIFS('Raw Data'!$F$2:$F$81,'Raw Data'!$C$2:$C$81,$C47))/(MAXIFS('Raw Data'!$F$2:$F$81,'Raw Data'!$C$2:$C$81,$C47)-MINIFS('Raw Data'!$F$2:$F$81,'Raw Data'!$C$2:$C$81,$C47))*100,50)</f>
        <v/>
      </c>
      <c r="G47" s="6">
        <f>IFERROR(('Raw Data'!K47-MINIFS('Raw Data'!$K$2:$K$81,'Raw Data'!$C$2:$C$81,$C47))/(MAXIFS('Raw Data'!$K$2:$K$81,'Raw Data'!$C$2:$C$81,$C47)-MINIFS('Raw Data'!$K$2:$K$81,'Raw Data'!$C$2:$C$81,$C47))*100,50)</f>
        <v/>
      </c>
      <c r="H47" s="6">
        <f>IFERROR(('Raw Data'!I47-MINIFS('Raw Data'!$I$2:$I$81,'Raw Data'!$C$2:$C$81,$C47))/(MAXIFS('Raw Data'!$I$2:$I$81,'Raw Data'!$C$2:$C$81,$C47)-MINIFS('Raw Data'!$I$2:$I$81,'Raw Data'!$C$2:$C$81,$C47))*100,50)</f>
        <v/>
      </c>
      <c r="I47" s="6">
        <f>100-IFERROR(('Raw Data'!H47-MINIFS('Raw Data'!$H$2:$H$81,'Raw Data'!$C$2:$C$81,$C47))/(MAXIFS('Raw Data'!$H$2:$H$81,'Raw Data'!$C$2:$C$81,$C47)-MINIFS('Raw Data'!$H$2:$H$81,'Raw Data'!$C$2:$C$81,$C47))*100,50)</f>
        <v/>
      </c>
      <c r="J47" s="6">
        <f>IFERROR(('Raw Data'!J47-MINIFS('Raw Data'!$J$2:$J$81,'Raw Data'!$C$2:$C$81,$C47))/(MAXIFS('Raw Data'!$J$2:$J$81,'Raw Data'!$C$2:$C$81,$C47)-MINIFS('Raw Data'!$J$2:$J$81,'Raw Data'!$C$2:$C$81,$C47))*100,50)</f>
        <v/>
      </c>
    </row>
    <row r="48">
      <c r="A48">
        <f>'Raw Data'!A48</f>
        <v/>
      </c>
      <c r="B48">
        <f>'Raw Data'!B48</f>
        <v/>
      </c>
      <c r="C48">
        <f>'Raw Data'!C48</f>
        <v/>
      </c>
      <c r="D48" s="6">
        <f>IFERROR(('Raw Data'!G48-MINIFS('Raw Data'!$G$2:$G$81,'Raw Data'!$C$2:$C$81,$C48))/(MAXIFS('Raw Data'!$G$2:$G$81,'Raw Data'!$C$2:$C$81,$C48)-MINIFS('Raw Data'!$G$2:$G$81,'Raw Data'!$C$2:$C$81,$C48))*100,50)</f>
        <v/>
      </c>
      <c r="E48" s="6">
        <f>IFERROR(('Raw Data'!E48-MINIFS('Raw Data'!$E$2:$E$81,'Raw Data'!$C$2:$C$81,$C48))/(MAXIFS('Raw Data'!$E$2:$E$81,'Raw Data'!$C$2:$C$81,$C48)-MINIFS('Raw Data'!$E$2:$E$81,'Raw Data'!$C$2:$C$81,$C48))*100,50)</f>
        <v/>
      </c>
      <c r="F48" s="6">
        <f>IFERROR(('Raw Data'!F48-MINIFS('Raw Data'!$F$2:$F$81,'Raw Data'!$C$2:$C$81,$C48))/(MAXIFS('Raw Data'!$F$2:$F$81,'Raw Data'!$C$2:$C$81,$C48)-MINIFS('Raw Data'!$F$2:$F$81,'Raw Data'!$C$2:$C$81,$C48))*100,50)</f>
        <v/>
      </c>
      <c r="G48" s="6">
        <f>IFERROR(('Raw Data'!K48-MINIFS('Raw Data'!$K$2:$K$81,'Raw Data'!$C$2:$C$81,$C48))/(MAXIFS('Raw Data'!$K$2:$K$81,'Raw Data'!$C$2:$C$81,$C48)-MINIFS('Raw Data'!$K$2:$K$81,'Raw Data'!$C$2:$C$81,$C48))*100,50)</f>
        <v/>
      </c>
      <c r="H48" s="6">
        <f>IFERROR(('Raw Data'!I48-MINIFS('Raw Data'!$I$2:$I$81,'Raw Data'!$C$2:$C$81,$C48))/(MAXIFS('Raw Data'!$I$2:$I$81,'Raw Data'!$C$2:$C$81,$C48)-MINIFS('Raw Data'!$I$2:$I$81,'Raw Data'!$C$2:$C$81,$C48))*100,50)</f>
        <v/>
      </c>
      <c r="I48" s="6">
        <f>100-IFERROR(('Raw Data'!H48-MINIFS('Raw Data'!$H$2:$H$81,'Raw Data'!$C$2:$C$81,$C48))/(MAXIFS('Raw Data'!$H$2:$H$81,'Raw Data'!$C$2:$C$81,$C48)-MINIFS('Raw Data'!$H$2:$H$81,'Raw Data'!$C$2:$C$81,$C48))*100,50)</f>
        <v/>
      </c>
      <c r="J48" s="6">
        <f>IFERROR(('Raw Data'!J48-MINIFS('Raw Data'!$J$2:$J$81,'Raw Data'!$C$2:$C$81,$C48))/(MAXIFS('Raw Data'!$J$2:$J$81,'Raw Data'!$C$2:$C$81,$C48)-MINIFS('Raw Data'!$J$2:$J$81,'Raw Data'!$C$2:$C$81,$C48))*100,50)</f>
        <v/>
      </c>
    </row>
    <row r="49">
      <c r="A49">
        <f>'Raw Data'!A49</f>
        <v/>
      </c>
      <c r="B49">
        <f>'Raw Data'!B49</f>
        <v/>
      </c>
      <c r="C49">
        <f>'Raw Data'!C49</f>
        <v/>
      </c>
      <c r="D49" s="6">
        <f>IFERROR(('Raw Data'!G49-MINIFS('Raw Data'!$G$2:$G$81,'Raw Data'!$C$2:$C$81,$C49))/(MAXIFS('Raw Data'!$G$2:$G$81,'Raw Data'!$C$2:$C$81,$C49)-MINIFS('Raw Data'!$G$2:$G$81,'Raw Data'!$C$2:$C$81,$C49))*100,50)</f>
        <v/>
      </c>
      <c r="E49" s="6">
        <f>IFERROR(('Raw Data'!E49-MINIFS('Raw Data'!$E$2:$E$81,'Raw Data'!$C$2:$C$81,$C49))/(MAXIFS('Raw Data'!$E$2:$E$81,'Raw Data'!$C$2:$C$81,$C49)-MINIFS('Raw Data'!$E$2:$E$81,'Raw Data'!$C$2:$C$81,$C49))*100,50)</f>
        <v/>
      </c>
      <c r="F49" s="6">
        <f>IFERROR(('Raw Data'!F49-MINIFS('Raw Data'!$F$2:$F$81,'Raw Data'!$C$2:$C$81,$C49))/(MAXIFS('Raw Data'!$F$2:$F$81,'Raw Data'!$C$2:$C$81,$C49)-MINIFS('Raw Data'!$F$2:$F$81,'Raw Data'!$C$2:$C$81,$C49))*100,50)</f>
        <v/>
      </c>
      <c r="G49" s="6">
        <f>IFERROR(('Raw Data'!K49-MINIFS('Raw Data'!$K$2:$K$81,'Raw Data'!$C$2:$C$81,$C49))/(MAXIFS('Raw Data'!$K$2:$K$81,'Raw Data'!$C$2:$C$81,$C49)-MINIFS('Raw Data'!$K$2:$K$81,'Raw Data'!$C$2:$C$81,$C49))*100,50)</f>
        <v/>
      </c>
      <c r="H49" s="6">
        <f>IFERROR(('Raw Data'!I49-MINIFS('Raw Data'!$I$2:$I$81,'Raw Data'!$C$2:$C$81,$C49))/(MAXIFS('Raw Data'!$I$2:$I$81,'Raw Data'!$C$2:$C$81,$C49)-MINIFS('Raw Data'!$I$2:$I$81,'Raw Data'!$C$2:$C$81,$C49))*100,50)</f>
        <v/>
      </c>
      <c r="I49" s="6">
        <f>100-IFERROR(('Raw Data'!H49-MINIFS('Raw Data'!$H$2:$H$81,'Raw Data'!$C$2:$C$81,$C49))/(MAXIFS('Raw Data'!$H$2:$H$81,'Raw Data'!$C$2:$C$81,$C49)-MINIFS('Raw Data'!$H$2:$H$81,'Raw Data'!$C$2:$C$81,$C49))*100,50)</f>
        <v/>
      </c>
      <c r="J49" s="6">
        <f>IFERROR(('Raw Data'!J49-MINIFS('Raw Data'!$J$2:$J$81,'Raw Data'!$C$2:$C$81,$C49))/(MAXIFS('Raw Data'!$J$2:$J$81,'Raw Data'!$C$2:$C$81,$C49)-MINIFS('Raw Data'!$J$2:$J$81,'Raw Data'!$C$2:$C$81,$C49))*100,50)</f>
        <v/>
      </c>
    </row>
    <row r="50">
      <c r="A50">
        <f>'Raw Data'!A50</f>
        <v/>
      </c>
      <c r="B50">
        <f>'Raw Data'!B50</f>
        <v/>
      </c>
      <c r="C50">
        <f>'Raw Data'!C50</f>
        <v/>
      </c>
      <c r="D50" s="6">
        <f>IFERROR(('Raw Data'!G50-MINIFS('Raw Data'!$G$2:$G$81,'Raw Data'!$C$2:$C$81,$C50))/(MAXIFS('Raw Data'!$G$2:$G$81,'Raw Data'!$C$2:$C$81,$C50)-MINIFS('Raw Data'!$G$2:$G$81,'Raw Data'!$C$2:$C$81,$C50))*100,50)</f>
        <v/>
      </c>
      <c r="E50" s="6">
        <f>IFERROR(('Raw Data'!E50-MINIFS('Raw Data'!$E$2:$E$81,'Raw Data'!$C$2:$C$81,$C50))/(MAXIFS('Raw Data'!$E$2:$E$81,'Raw Data'!$C$2:$C$81,$C50)-MINIFS('Raw Data'!$E$2:$E$81,'Raw Data'!$C$2:$C$81,$C50))*100,50)</f>
        <v/>
      </c>
      <c r="F50" s="6">
        <f>IFERROR(('Raw Data'!F50-MINIFS('Raw Data'!$F$2:$F$81,'Raw Data'!$C$2:$C$81,$C50))/(MAXIFS('Raw Data'!$F$2:$F$81,'Raw Data'!$C$2:$C$81,$C50)-MINIFS('Raw Data'!$F$2:$F$81,'Raw Data'!$C$2:$C$81,$C50))*100,50)</f>
        <v/>
      </c>
      <c r="G50" s="6">
        <f>IFERROR(('Raw Data'!K50-MINIFS('Raw Data'!$K$2:$K$81,'Raw Data'!$C$2:$C$81,$C50))/(MAXIFS('Raw Data'!$K$2:$K$81,'Raw Data'!$C$2:$C$81,$C50)-MINIFS('Raw Data'!$K$2:$K$81,'Raw Data'!$C$2:$C$81,$C50))*100,50)</f>
        <v/>
      </c>
      <c r="H50" s="6">
        <f>IFERROR(('Raw Data'!I50-MINIFS('Raw Data'!$I$2:$I$81,'Raw Data'!$C$2:$C$81,$C50))/(MAXIFS('Raw Data'!$I$2:$I$81,'Raw Data'!$C$2:$C$81,$C50)-MINIFS('Raw Data'!$I$2:$I$81,'Raw Data'!$C$2:$C$81,$C50))*100,50)</f>
        <v/>
      </c>
      <c r="I50" s="6">
        <f>100-IFERROR(('Raw Data'!H50-MINIFS('Raw Data'!$H$2:$H$81,'Raw Data'!$C$2:$C$81,$C50))/(MAXIFS('Raw Data'!$H$2:$H$81,'Raw Data'!$C$2:$C$81,$C50)-MINIFS('Raw Data'!$H$2:$H$81,'Raw Data'!$C$2:$C$81,$C50))*100,50)</f>
        <v/>
      </c>
      <c r="J50" s="6">
        <f>IFERROR(('Raw Data'!J50-MINIFS('Raw Data'!$J$2:$J$81,'Raw Data'!$C$2:$C$81,$C50))/(MAXIFS('Raw Data'!$J$2:$J$81,'Raw Data'!$C$2:$C$81,$C50)-MINIFS('Raw Data'!$J$2:$J$81,'Raw Data'!$C$2:$C$81,$C50))*100,50)</f>
        <v/>
      </c>
    </row>
    <row r="51">
      <c r="A51">
        <f>'Raw Data'!A51</f>
        <v/>
      </c>
      <c r="B51">
        <f>'Raw Data'!B51</f>
        <v/>
      </c>
      <c r="C51">
        <f>'Raw Data'!C51</f>
        <v/>
      </c>
      <c r="D51" s="6">
        <f>IFERROR(('Raw Data'!G51-MINIFS('Raw Data'!$G$2:$G$81,'Raw Data'!$C$2:$C$81,$C51))/(MAXIFS('Raw Data'!$G$2:$G$81,'Raw Data'!$C$2:$C$81,$C51)-MINIFS('Raw Data'!$G$2:$G$81,'Raw Data'!$C$2:$C$81,$C51))*100,50)</f>
        <v/>
      </c>
      <c r="E51" s="6">
        <f>IFERROR(('Raw Data'!E51-MINIFS('Raw Data'!$E$2:$E$81,'Raw Data'!$C$2:$C$81,$C51))/(MAXIFS('Raw Data'!$E$2:$E$81,'Raw Data'!$C$2:$C$81,$C51)-MINIFS('Raw Data'!$E$2:$E$81,'Raw Data'!$C$2:$C$81,$C51))*100,50)</f>
        <v/>
      </c>
      <c r="F51" s="6">
        <f>IFERROR(('Raw Data'!F51-MINIFS('Raw Data'!$F$2:$F$81,'Raw Data'!$C$2:$C$81,$C51))/(MAXIFS('Raw Data'!$F$2:$F$81,'Raw Data'!$C$2:$C$81,$C51)-MINIFS('Raw Data'!$F$2:$F$81,'Raw Data'!$C$2:$C$81,$C51))*100,50)</f>
        <v/>
      </c>
      <c r="G51" s="6">
        <f>IFERROR(('Raw Data'!K51-MINIFS('Raw Data'!$K$2:$K$81,'Raw Data'!$C$2:$C$81,$C51))/(MAXIFS('Raw Data'!$K$2:$K$81,'Raw Data'!$C$2:$C$81,$C51)-MINIFS('Raw Data'!$K$2:$K$81,'Raw Data'!$C$2:$C$81,$C51))*100,50)</f>
        <v/>
      </c>
      <c r="H51" s="6">
        <f>IFERROR(('Raw Data'!I51-MINIFS('Raw Data'!$I$2:$I$81,'Raw Data'!$C$2:$C$81,$C51))/(MAXIFS('Raw Data'!$I$2:$I$81,'Raw Data'!$C$2:$C$81,$C51)-MINIFS('Raw Data'!$I$2:$I$81,'Raw Data'!$C$2:$C$81,$C51))*100,50)</f>
        <v/>
      </c>
      <c r="I51" s="6">
        <f>100-IFERROR(('Raw Data'!H51-MINIFS('Raw Data'!$H$2:$H$81,'Raw Data'!$C$2:$C$81,$C51))/(MAXIFS('Raw Data'!$H$2:$H$81,'Raw Data'!$C$2:$C$81,$C51)-MINIFS('Raw Data'!$H$2:$H$81,'Raw Data'!$C$2:$C$81,$C51))*100,50)</f>
        <v/>
      </c>
      <c r="J51" s="6">
        <f>IFERROR(('Raw Data'!J51-MINIFS('Raw Data'!$J$2:$J$81,'Raw Data'!$C$2:$C$81,$C51))/(MAXIFS('Raw Data'!$J$2:$J$81,'Raw Data'!$C$2:$C$81,$C51)-MINIFS('Raw Data'!$J$2:$J$81,'Raw Data'!$C$2:$C$81,$C51))*100,50)</f>
        <v/>
      </c>
    </row>
    <row r="52">
      <c r="A52">
        <f>'Raw Data'!A52</f>
        <v/>
      </c>
      <c r="B52">
        <f>'Raw Data'!B52</f>
        <v/>
      </c>
      <c r="C52">
        <f>'Raw Data'!C52</f>
        <v/>
      </c>
      <c r="D52" s="6">
        <f>IFERROR(('Raw Data'!G52-MINIFS('Raw Data'!$G$2:$G$81,'Raw Data'!$C$2:$C$81,$C52))/(MAXIFS('Raw Data'!$G$2:$G$81,'Raw Data'!$C$2:$C$81,$C52)-MINIFS('Raw Data'!$G$2:$G$81,'Raw Data'!$C$2:$C$81,$C52))*100,50)</f>
        <v/>
      </c>
      <c r="E52" s="6">
        <f>IFERROR(('Raw Data'!E52-MINIFS('Raw Data'!$E$2:$E$81,'Raw Data'!$C$2:$C$81,$C52))/(MAXIFS('Raw Data'!$E$2:$E$81,'Raw Data'!$C$2:$C$81,$C52)-MINIFS('Raw Data'!$E$2:$E$81,'Raw Data'!$C$2:$C$81,$C52))*100,50)</f>
        <v/>
      </c>
      <c r="F52" s="6">
        <f>IFERROR(('Raw Data'!F52-MINIFS('Raw Data'!$F$2:$F$81,'Raw Data'!$C$2:$C$81,$C52))/(MAXIFS('Raw Data'!$F$2:$F$81,'Raw Data'!$C$2:$C$81,$C52)-MINIFS('Raw Data'!$F$2:$F$81,'Raw Data'!$C$2:$C$81,$C52))*100,50)</f>
        <v/>
      </c>
      <c r="G52" s="6">
        <f>IFERROR(('Raw Data'!K52-MINIFS('Raw Data'!$K$2:$K$81,'Raw Data'!$C$2:$C$81,$C52))/(MAXIFS('Raw Data'!$K$2:$K$81,'Raw Data'!$C$2:$C$81,$C52)-MINIFS('Raw Data'!$K$2:$K$81,'Raw Data'!$C$2:$C$81,$C52))*100,50)</f>
        <v/>
      </c>
      <c r="H52" s="6">
        <f>IFERROR(('Raw Data'!I52-MINIFS('Raw Data'!$I$2:$I$81,'Raw Data'!$C$2:$C$81,$C52))/(MAXIFS('Raw Data'!$I$2:$I$81,'Raw Data'!$C$2:$C$81,$C52)-MINIFS('Raw Data'!$I$2:$I$81,'Raw Data'!$C$2:$C$81,$C52))*100,50)</f>
        <v/>
      </c>
      <c r="I52" s="6">
        <f>100-IFERROR(('Raw Data'!H52-MINIFS('Raw Data'!$H$2:$H$81,'Raw Data'!$C$2:$C$81,$C52))/(MAXIFS('Raw Data'!$H$2:$H$81,'Raw Data'!$C$2:$C$81,$C52)-MINIFS('Raw Data'!$H$2:$H$81,'Raw Data'!$C$2:$C$81,$C52))*100,50)</f>
        <v/>
      </c>
      <c r="J52" s="6">
        <f>IFERROR(('Raw Data'!J52-MINIFS('Raw Data'!$J$2:$J$81,'Raw Data'!$C$2:$C$81,$C52))/(MAXIFS('Raw Data'!$J$2:$J$81,'Raw Data'!$C$2:$C$81,$C52)-MINIFS('Raw Data'!$J$2:$J$81,'Raw Data'!$C$2:$C$81,$C52))*100,50)</f>
        <v/>
      </c>
    </row>
    <row r="53">
      <c r="A53">
        <f>'Raw Data'!A53</f>
        <v/>
      </c>
      <c r="B53">
        <f>'Raw Data'!B53</f>
        <v/>
      </c>
      <c r="C53">
        <f>'Raw Data'!C53</f>
        <v/>
      </c>
      <c r="D53" s="6">
        <f>IFERROR(('Raw Data'!G53-MINIFS('Raw Data'!$G$2:$G$81,'Raw Data'!$C$2:$C$81,$C53))/(MAXIFS('Raw Data'!$G$2:$G$81,'Raw Data'!$C$2:$C$81,$C53)-MINIFS('Raw Data'!$G$2:$G$81,'Raw Data'!$C$2:$C$81,$C53))*100,50)</f>
        <v/>
      </c>
      <c r="E53" s="6">
        <f>IFERROR(('Raw Data'!E53-MINIFS('Raw Data'!$E$2:$E$81,'Raw Data'!$C$2:$C$81,$C53))/(MAXIFS('Raw Data'!$E$2:$E$81,'Raw Data'!$C$2:$C$81,$C53)-MINIFS('Raw Data'!$E$2:$E$81,'Raw Data'!$C$2:$C$81,$C53))*100,50)</f>
        <v/>
      </c>
      <c r="F53" s="6">
        <f>IFERROR(('Raw Data'!F53-MINIFS('Raw Data'!$F$2:$F$81,'Raw Data'!$C$2:$C$81,$C53))/(MAXIFS('Raw Data'!$F$2:$F$81,'Raw Data'!$C$2:$C$81,$C53)-MINIFS('Raw Data'!$F$2:$F$81,'Raw Data'!$C$2:$C$81,$C53))*100,50)</f>
        <v/>
      </c>
      <c r="G53" s="6">
        <f>IFERROR(('Raw Data'!K53-MINIFS('Raw Data'!$K$2:$K$81,'Raw Data'!$C$2:$C$81,$C53))/(MAXIFS('Raw Data'!$K$2:$K$81,'Raw Data'!$C$2:$C$81,$C53)-MINIFS('Raw Data'!$K$2:$K$81,'Raw Data'!$C$2:$C$81,$C53))*100,50)</f>
        <v/>
      </c>
      <c r="H53" s="6">
        <f>IFERROR(('Raw Data'!I53-MINIFS('Raw Data'!$I$2:$I$81,'Raw Data'!$C$2:$C$81,$C53))/(MAXIFS('Raw Data'!$I$2:$I$81,'Raw Data'!$C$2:$C$81,$C53)-MINIFS('Raw Data'!$I$2:$I$81,'Raw Data'!$C$2:$C$81,$C53))*100,50)</f>
        <v/>
      </c>
      <c r="I53" s="6">
        <f>100-IFERROR(('Raw Data'!H53-MINIFS('Raw Data'!$H$2:$H$81,'Raw Data'!$C$2:$C$81,$C53))/(MAXIFS('Raw Data'!$H$2:$H$81,'Raw Data'!$C$2:$C$81,$C53)-MINIFS('Raw Data'!$H$2:$H$81,'Raw Data'!$C$2:$C$81,$C53))*100,50)</f>
        <v/>
      </c>
      <c r="J53" s="6">
        <f>IFERROR(('Raw Data'!J53-MINIFS('Raw Data'!$J$2:$J$81,'Raw Data'!$C$2:$C$81,$C53))/(MAXIFS('Raw Data'!$J$2:$J$81,'Raw Data'!$C$2:$C$81,$C53)-MINIFS('Raw Data'!$J$2:$J$81,'Raw Data'!$C$2:$C$81,$C53))*100,50)</f>
        <v/>
      </c>
    </row>
    <row r="54">
      <c r="A54">
        <f>'Raw Data'!A54</f>
        <v/>
      </c>
      <c r="B54">
        <f>'Raw Data'!B54</f>
        <v/>
      </c>
      <c r="C54">
        <f>'Raw Data'!C54</f>
        <v/>
      </c>
      <c r="D54" s="6">
        <f>IFERROR(('Raw Data'!G54-MINIFS('Raw Data'!$G$2:$G$81,'Raw Data'!$C$2:$C$81,$C54))/(MAXIFS('Raw Data'!$G$2:$G$81,'Raw Data'!$C$2:$C$81,$C54)-MINIFS('Raw Data'!$G$2:$G$81,'Raw Data'!$C$2:$C$81,$C54))*100,50)</f>
        <v/>
      </c>
      <c r="E54" s="6">
        <f>IFERROR(('Raw Data'!E54-MINIFS('Raw Data'!$E$2:$E$81,'Raw Data'!$C$2:$C$81,$C54))/(MAXIFS('Raw Data'!$E$2:$E$81,'Raw Data'!$C$2:$C$81,$C54)-MINIFS('Raw Data'!$E$2:$E$81,'Raw Data'!$C$2:$C$81,$C54))*100,50)</f>
        <v/>
      </c>
      <c r="F54" s="6">
        <f>IFERROR(('Raw Data'!F54-MINIFS('Raw Data'!$F$2:$F$81,'Raw Data'!$C$2:$C$81,$C54))/(MAXIFS('Raw Data'!$F$2:$F$81,'Raw Data'!$C$2:$C$81,$C54)-MINIFS('Raw Data'!$F$2:$F$81,'Raw Data'!$C$2:$C$81,$C54))*100,50)</f>
        <v/>
      </c>
      <c r="G54" s="6">
        <f>IFERROR(('Raw Data'!K54-MINIFS('Raw Data'!$K$2:$K$81,'Raw Data'!$C$2:$C$81,$C54))/(MAXIFS('Raw Data'!$K$2:$K$81,'Raw Data'!$C$2:$C$81,$C54)-MINIFS('Raw Data'!$K$2:$K$81,'Raw Data'!$C$2:$C$81,$C54))*100,50)</f>
        <v/>
      </c>
      <c r="H54" s="6">
        <f>IFERROR(('Raw Data'!I54-MINIFS('Raw Data'!$I$2:$I$81,'Raw Data'!$C$2:$C$81,$C54))/(MAXIFS('Raw Data'!$I$2:$I$81,'Raw Data'!$C$2:$C$81,$C54)-MINIFS('Raw Data'!$I$2:$I$81,'Raw Data'!$C$2:$C$81,$C54))*100,50)</f>
        <v/>
      </c>
      <c r="I54" s="6">
        <f>100-IFERROR(('Raw Data'!H54-MINIFS('Raw Data'!$H$2:$H$81,'Raw Data'!$C$2:$C$81,$C54))/(MAXIFS('Raw Data'!$H$2:$H$81,'Raw Data'!$C$2:$C$81,$C54)-MINIFS('Raw Data'!$H$2:$H$81,'Raw Data'!$C$2:$C$81,$C54))*100,50)</f>
        <v/>
      </c>
      <c r="J54" s="6">
        <f>IFERROR(('Raw Data'!J54-MINIFS('Raw Data'!$J$2:$J$81,'Raw Data'!$C$2:$C$81,$C54))/(MAXIFS('Raw Data'!$J$2:$J$81,'Raw Data'!$C$2:$C$81,$C54)-MINIFS('Raw Data'!$J$2:$J$81,'Raw Data'!$C$2:$C$81,$C54))*100,50)</f>
        <v/>
      </c>
    </row>
    <row r="55">
      <c r="A55">
        <f>'Raw Data'!A55</f>
        <v/>
      </c>
      <c r="B55">
        <f>'Raw Data'!B55</f>
        <v/>
      </c>
      <c r="C55">
        <f>'Raw Data'!C55</f>
        <v/>
      </c>
      <c r="D55" s="6">
        <f>IFERROR(('Raw Data'!G55-MINIFS('Raw Data'!$G$2:$G$81,'Raw Data'!$C$2:$C$81,$C55))/(MAXIFS('Raw Data'!$G$2:$G$81,'Raw Data'!$C$2:$C$81,$C55)-MINIFS('Raw Data'!$G$2:$G$81,'Raw Data'!$C$2:$C$81,$C55))*100,50)</f>
        <v/>
      </c>
      <c r="E55" s="6">
        <f>IFERROR(('Raw Data'!E55-MINIFS('Raw Data'!$E$2:$E$81,'Raw Data'!$C$2:$C$81,$C55))/(MAXIFS('Raw Data'!$E$2:$E$81,'Raw Data'!$C$2:$C$81,$C55)-MINIFS('Raw Data'!$E$2:$E$81,'Raw Data'!$C$2:$C$81,$C55))*100,50)</f>
        <v/>
      </c>
      <c r="F55" s="6">
        <f>IFERROR(('Raw Data'!F55-MINIFS('Raw Data'!$F$2:$F$81,'Raw Data'!$C$2:$C$81,$C55))/(MAXIFS('Raw Data'!$F$2:$F$81,'Raw Data'!$C$2:$C$81,$C55)-MINIFS('Raw Data'!$F$2:$F$81,'Raw Data'!$C$2:$C$81,$C55))*100,50)</f>
        <v/>
      </c>
      <c r="G55" s="6">
        <f>IFERROR(('Raw Data'!K55-MINIFS('Raw Data'!$K$2:$K$81,'Raw Data'!$C$2:$C$81,$C55))/(MAXIFS('Raw Data'!$K$2:$K$81,'Raw Data'!$C$2:$C$81,$C55)-MINIFS('Raw Data'!$K$2:$K$81,'Raw Data'!$C$2:$C$81,$C55))*100,50)</f>
        <v/>
      </c>
      <c r="H55" s="6">
        <f>IFERROR(('Raw Data'!I55-MINIFS('Raw Data'!$I$2:$I$81,'Raw Data'!$C$2:$C$81,$C55))/(MAXIFS('Raw Data'!$I$2:$I$81,'Raw Data'!$C$2:$C$81,$C55)-MINIFS('Raw Data'!$I$2:$I$81,'Raw Data'!$C$2:$C$81,$C55))*100,50)</f>
        <v/>
      </c>
      <c r="I55" s="6">
        <f>100-IFERROR(('Raw Data'!H55-MINIFS('Raw Data'!$H$2:$H$81,'Raw Data'!$C$2:$C$81,$C55))/(MAXIFS('Raw Data'!$H$2:$H$81,'Raw Data'!$C$2:$C$81,$C55)-MINIFS('Raw Data'!$H$2:$H$81,'Raw Data'!$C$2:$C$81,$C55))*100,50)</f>
        <v/>
      </c>
      <c r="J55" s="6">
        <f>IFERROR(('Raw Data'!J55-MINIFS('Raw Data'!$J$2:$J$81,'Raw Data'!$C$2:$C$81,$C55))/(MAXIFS('Raw Data'!$J$2:$J$81,'Raw Data'!$C$2:$C$81,$C55)-MINIFS('Raw Data'!$J$2:$J$81,'Raw Data'!$C$2:$C$81,$C55))*100,50)</f>
        <v/>
      </c>
    </row>
    <row r="56">
      <c r="A56">
        <f>'Raw Data'!A56</f>
        <v/>
      </c>
      <c r="B56">
        <f>'Raw Data'!B56</f>
        <v/>
      </c>
      <c r="C56">
        <f>'Raw Data'!C56</f>
        <v/>
      </c>
      <c r="D56" s="6">
        <f>IFERROR(('Raw Data'!G56-MINIFS('Raw Data'!$G$2:$G$81,'Raw Data'!$C$2:$C$81,$C56))/(MAXIFS('Raw Data'!$G$2:$G$81,'Raw Data'!$C$2:$C$81,$C56)-MINIFS('Raw Data'!$G$2:$G$81,'Raw Data'!$C$2:$C$81,$C56))*100,50)</f>
        <v/>
      </c>
      <c r="E56" s="6">
        <f>IFERROR(('Raw Data'!E56-MINIFS('Raw Data'!$E$2:$E$81,'Raw Data'!$C$2:$C$81,$C56))/(MAXIFS('Raw Data'!$E$2:$E$81,'Raw Data'!$C$2:$C$81,$C56)-MINIFS('Raw Data'!$E$2:$E$81,'Raw Data'!$C$2:$C$81,$C56))*100,50)</f>
        <v/>
      </c>
      <c r="F56" s="6">
        <f>IFERROR(('Raw Data'!F56-MINIFS('Raw Data'!$F$2:$F$81,'Raw Data'!$C$2:$C$81,$C56))/(MAXIFS('Raw Data'!$F$2:$F$81,'Raw Data'!$C$2:$C$81,$C56)-MINIFS('Raw Data'!$F$2:$F$81,'Raw Data'!$C$2:$C$81,$C56))*100,50)</f>
        <v/>
      </c>
      <c r="G56" s="6">
        <f>IFERROR(('Raw Data'!K56-MINIFS('Raw Data'!$K$2:$K$81,'Raw Data'!$C$2:$C$81,$C56))/(MAXIFS('Raw Data'!$K$2:$K$81,'Raw Data'!$C$2:$C$81,$C56)-MINIFS('Raw Data'!$K$2:$K$81,'Raw Data'!$C$2:$C$81,$C56))*100,50)</f>
        <v/>
      </c>
      <c r="H56" s="6">
        <f>IFERROR(('Raw Data'!I56-MINIFS('Raw Data'!$I$2:$I$81,'Raw Data'!$C$2:$C$81,$C56))/(MAXIFS('Raw Data'!$I$2:$I$81,'Raw Data'!$C$2:$C$81,$C56)-MINIFS('Raw Data'!$I$2:$I$81,'Raw Data'!$C$2:$C$81,$C56))*100,50)</f>
        <v/>
      </c>
      <c r="I56" s="6">
        <f>100-IFERROR(('Raw Data'!H56-MINIFS('Raw Data'!$H$2:$H$81,'Raw Data'!$C$2:$C$81,$C56))/(MAXIFS('Raw Data'!$H$2:$H$81,'Raw Data'!$C$2:$C$81,$C56)-MINIFS('Raw Data'!$H$2:$H$81,'Raw Data'!$C$2:$C$81,$C56))*100,50)</f>
        <v/>
      </c>
      <c r="J56" s="6">
        <f>IFERROR(('Raw Data'!J56-MINIFS('Raw Data'!$J$2:$J$81,'Raw Data'!$C$2:$C$81,$C56))/(MAXIFS('Raw Data'!$J$2:$J$81,'Raw Data'!$C$2:$C$81,$C56)-MINIFS('Raw Data'!$J$2:$J$81,'Raw Data'!$C$2:$C$81,$C56))*100,50)</f>
        <v/>
      </c>
    </row>
    <row r="57">
      <c r="A57">
        <f>'Raw Data'!A57</f>
        <v/>
      </c>
      <c r="B57">
        <f>'Raw Data'!B57</f>
        <v/>
      </c>
      <c r="C57">
        <f>'Raw Data'!C57</f>
        <v/>
      </c>
      <c r="D57" s="6">
        <f>IFERROR(('Raw Data'!G57-MINIFS('Raw Data'!$G$2:$G$81,'Raw Data'!$C$2:$C$81,$C57))/(MAXIFS('Raw Data'!$G$2:$G$81,'Raw Data'!$C$2:$C$81,$C57)-MINIFS('Raw Data'!$G$2:$G$81,'Raw Data'!$C$2:$C$81,$C57))*100,50)</f>
        <v/>
      </c>
      <c r="E57" s="6">
        <f>IFERROR(('Raw Data'!E57-MINIFS('Raw Data'!$E$2:$E$81,'Raw Data'!$C$2:$C$81,$C57))/(MAXIFS('Raw Data'!$E$2:$E$81,'Raw Data'!$C$2:$C$81,$C57)-MINIFS('Raw Data'!$E$2:$E$81,'Raw Data'!$C$2:$C$81,$C57))*100,50)</f>
        <v/>
      </c>
      <c r="F57" s="6">
        <f>IFERROR(('Raw Data'!F57-MINIFS('Raw Data'!$F$2:$F$81,'Raw Data'!$C$2:$C$81,$C57))/(MAXIFS('Raw Data'!$F$2:$F$81,'Raw Data'!$C$2:$C$81,$C57)-MINIFS('Raw Data'!$F$2:$F$81,'Raw Data'!$C$2:$C$81,$C57))*100,50)</f>
        <v/>
      </c>
      <c r="G57" s="6">
        <f>IFERROR(('Raw Data'!K57-MINIFS('Raw Data'!$K$2:$K$81,'Raw Data'!$C$2:$C$81,$C57))/(MAXIFS('Raw Data'!$K$2:$K$81,'Raw Data'!$C$2:$C$81,$C57)-MINIFS('Raw Data'!$K$2:$K$81,'Raw Data'!$C$2:$C$81,$C57))*100,50)</f>
        <v/>
      </c>
      <c r="H57" s="6">
        <f>IFERROR(('Raw Data'!I57-MINIFS('Raw Data'!$I$2:$I$81,'Raw Data'!$C$2:$C$81,$C57))/(MAXIFS('Raw Data'!$I$2:$I$81,'Raw Data'!$C$2:$C$81,$C57)-MINIFS('Raw Data'!$I$2:$I$81,'Raw Data'!$C$2:$C$81,$C57))*100,50)</f>
        <v/>
      </c>
      <c r="I57" s="6">
        <f>100-IFERROR(('Raw Data'!H57-MINIFS('Raw Data'!$H$2:$H$81,'Raw Data'!$C$2:$C$81,$C57))/(MAXIFS('Raw Data'!$H$2:$H$81,'Raw Data'!$C$2:$C$81,$C57)-MINIFS('Raw Data'!$H$2:$H$81,'Raw Data'!$C$2:$C$81,$C57))*100,50)</f>
        <v/>
      </c>
      <c r="J57" s="6">
        <f>IFERROR(('Raw Data'!J57-MINIFS('Raw Data'!$J$2:$J$81,'Raw Data'!$C$2:$C$81,$C57))/(MAXIFS('Raw Data'!$J$2:$J$81,'Raw Data'!$C$2:$C$81,$C57)-MINIFS('Raw Data'!$J$2:$J$81,'Raw Data'!$C$2:$C$81,$C57))*100,50)</f>
        <v/>
      </c>
    </row>
    <row r="58">
      <c r="A58">
        <f>'Raw Data'!A58</f>
        <v/>
      </c>
      <c r="B58">
        <f>'Raw Data'!B58</f>
        <v/>
      </c>
      <c r="C58">
        <f>'Raw Data'!C58</f>
        <v/>
      </c>
      <c r="D58" s="6">
        <f>IFERROR(('Raw Data'!G58-MINIFS('Raw Data'!$G$2:$G$81,'Raw Data'!$C$2:$C$81,$C58))/(MAXIFS('Raw Data'!$G$2:$G$81,'Raw Data'!$C$2:$C$81,$C58)-MINIFS('Raw Data'!$G$2:$G$81,'Raw Data'!$C$2:$C$81,$C58))*100,50)</f>
        <v/>
      </c>
      <c r="E58" s="6">
        <f>IFERROR(('Raw Data'!E58-MINIFS('Raw Data'!$E$2:$E$81,'Raw Data'!$C$2:$C$81,$C58))/(MAXIFS('Raw Data'!$E$2:$E$81,'Raw Data'!$C$2:$C$81,$C58)-MINIFS('Raw Data'!$E$2:$E$81,'Raw Data'!$C$2:$C$81,$C58))*100,50)</f>
        <v/>
      </c>
      <c r="F58" s="6">
        <f>IFERROR(('Raw Data'!F58-MINIFS('Raw Data'!$F$2:$F$81,'Raw Data'!$C$2:$C$81,$C58))/(MAXIFS('Raw Data'!$F$2:$F$81,'Raw Data'!$C$2:$C$81,$C58)-MINIFS('Raw Data'!$F$2:$F$81,'Raw Data'!$C$2:$C$81,$C58))*100,50)</f>
        <v/>
      </c>
      <c r="G58" s="6">
        <f>IFERROR(('Raw Data'!K58-MINIFS('Raw Data'!$K$2:$K$81,'Raw Data'!$C$2:$C$81,$C58))/(MAXIFS('Raw Data'!$K$2:$K$81,'Raw Data'!$C$2:$C$81,$C58)-MINIFS('Raw Data'!$K$2:$K$81,'Raw Data'!$C$2:$C$81,$C58))*100,50)</f>
        <v/>
      </c>
      <c r="H58" s="6">
        <f>IFERROR(('Raw Data'!I58-MINIFS('Raw Data'!$I$2:$I$81,'Raw Data'!$C$2:$C$81,$C58))/(MAXIFS('Raw Data'!$I$2:$I$81,'Raw Data'!$C$2:$C$81,$C58)-MINIFS('Raw Data'!$I$2:$I$81,'Raw Data'!$C$2:$C$81,$C58))*100,50)</f>
        <v/>
      </c>
      <c r="I58" s="6">
        <f>100-IFERROR(('Raw Data'!H58-MINIFS('Raw Data'!$H$2:$H$81,'Raw Data'!$C$2:$C$81,$C58))/(MAXIFS('Raw Data'!$H$2:$H$81,'Raw Data'!$C$2:$C$81,$C58)-MINIFS('Raw Data'!$H$2:$H$81,'Raw Data'!$C$2:$C$81,$C58))*100,50)</f>
        <v/>
      </c>
      <c r="J58" s="6">
        <f>IFERROR(('Raw Data'!J58-MINIFS('Raw Data'!$J$2:$J$81,'Raw Data'!$C$2:$C$81,$C58))/(MAXIFS('Raw Data'!$J$2:$J$81,'Raw Data'!$C$2:$C$81,$C58)-MINIFS('Raw Data'!$J$2:$J$81,'Raw Data'!$C$2:$C$81,$C58))*100,50)</f>
        <v/>
      </c>
    </row>
    <row r="59">
      <c r="A59">
        <f>'Raw Data'!A59</f>
        <v/>
      </c>
      <c r="B59">
        <f>'Raw Data'!B59</f>
        <v/>
      </c>
      <c r="C59">
        <f>'Raw Data'!C59</f>
        <v/>
      </c>
      <c r="D59" s="6">
        <f>IFERROR(('Raw Data'!G59-MINIFS('Raw Data'!$G$2:$G$81,'Raw Data'!$C$2:$C$81,$C59))/(MAXIFS('Raw Data'!$G$2:$G$81,'Raw Data'!$C$2:$C$81,$C59)-MINIFS('Raw Data'!$G$2:$G$81,'Raw Data'!$C$2:$C$81,$C59))*100,50)</f>
        <v/>
      </c>
      <c r="E59" s="6">
        <f>IFERROR(('Raw Data'!E59-MINIFS('Raw Data'!$E$2:$E$81,'Raw Data'!$C$2:$C$81,$C59))/(MAXIFS('Raw Data'!$E$2:$E$81,'Raw Data'!$C$2:$C$81,$C59)-MINIFS('Raw Data'!$E$2:$E$81,'Raw Data'!$C$2:$C$81,$C59))*100,50)</f>
        <v/>
      </c>
      <c r="F59" s="6">
        <f>IFERROR(('Raw Data'!F59-MINIFS('Raw Data'!$F$2:$F$81,'Raw Data'!$C$2:$C$81,$C59))/(MAXIFS('Raw Data'!$F$2:$F$81,'Raw Data'!$C$2:$C$81,$C59)-MINIFS('Raw Data'!$F$2:$F$81,'Raw Data'!$C$2:$C$81,$C59))*100,50)</f>
        <v/>
      </c>
      <c r="G59" s="6">
        <f>IFERROR(('Raw Data'!K59-MINIFS('Raw Data'!$K$2:$K$81,'Raw Data'!$C$2:$C$81,$C59))/(MAXIFS('Raw Data'!$K$2:$K$81,'Raw Data'!$C$2:$C$81,$C59)-MINIFS('Raw Data'!$K$2:$K$81,'Raw Data'!$C$2:$C$81,$C59))*100,50)</f>
        <v/>
      </c>
      <c r="H59" s="6">
        <f>IFERROR(('Raw Data'!I59-MINIFS('Raw Data'!$I$2:$I$81,'Raw Data'!$C$2:$C$81,$C59))/(MAXIFS('Raw Data'!$I$2:$I$81,'Raw Data'!$C$2:$C$81,$C59)-MINIFS('Raw Data'!$I$2:$I$81,'Raw Data'!$C$2:$C$81,$C59))*100,50)</f>
        <v/>
      </c>
      <c r="I59" s="6">
        <f>100-IFERROR(('Raw Data'!H59-MINIFS('Raw Data'!$H$2:$H$81,'Raw Data'!$C$2:$C$81,$C59))/(MAXIFS('Raw Data'!$H$2:$H$81,'Raw Data'!$C$2:$C$81,$C59)-MINIFS('Raw Data'!$H$2:$H$81,'Raw Data'!$C$2:$C$81,$C59))*100,50)</f>
        <v/>
      </c>
      <c r="J59" s="6">
        <f>IFERROR(('Raw Data'!J59-MINIFS('Raw Data'!$J$2:$J$81,'Raw Data'!$C$2:$C$81,$C59))/(MAXIFS('Raw Data'!$J$2:$J$81,'Raw Data'!$C$2:$C$81,$C59)-MINIFS('Raw Data'!$J$2:$J$81,'Raw Data'!$C$2:$C$81,$C59))*100,50)</f>
        <v/>
      </c>
    </row>
    <row r="60">
      <c r="A60">
        <f>'Raw Data'!A60</f>
        <v/>
      </c>
      <c r="B60">
        <f>'Raw Data'!B60</f>
        <v/>
      </c>
      <c r="C60">
        <f>'Raw Data'!C60</f>
        <v/>
      </c>
      <c r="D60" s="6">
        <f>IFERROR(('Raw Data'!G60-MINIFS('Raw Data'!$G$2:$G$81,'Raw Data'!$C$2:$C$81,$C60))/(MAXIFS('Raw Data'!$G$2:$G$81,'Raw Data'!$C$2:$C$81,$C60)-MINIFS('Raw Data'!$G$2:$G$81,'Raw Data'!$C$2:$C$81,$C60))*100,50)</f>
        <v/>
      </c>
      <c r="E60" s="6">
        <f>IFERROR(('Raw Data'!E60-MINIFS('Raw Data'!$E$2:$E$81,'Raw Data'!$C$2:$C$81,$C60))/(MAXIFS('Raw Data'!$E$2:$E$81,'Raw Data'!$C$2:$C$81,$C60)-MINIFS('Raw Data'!$E$2:$E$81,'Raw Data'!$C$2:$C$81,$C60))*100,50)</f>
        <v/>
      </c>
      <c r="F60" s="6">
        <f>IFERROR(('Raw Data'!F60-MINIFS('Raw Data'!$F$2:$F$81,'Raw Data'!$C$2:$C$81,$C60))/(MAXIFS('Raw Data'!$F$2:$F$81,'Raw Data'!$C$2:$C$81,$C60)-MINIFS('Raw Data'!$F$2:$F$81,'Raw Data'!$C$2:$C$81,$C60))*100,50)</f>
        <v/>
      </c>
      <c r="G60" s="6">
        <f>IFERROR(('Raw Data'!K60-MINIFS('Raw Data'!$K$2:$K$81,'Raw Data'!$C$2:$C$81,$C60))/(MAXIFS('Raw Data'!$K$2:$K$81,'Raw Data'!$C$2:$C$81,$C60)-MINIFS('Raw Data'!$K$2:$K$81,'Raw Data'!$C$2:$C$81,$C60))*100,50)</f>
        <v/>
      </c>
      <c r="H60" s="6">
        <f>IFERROR(('Raw Data'!I60-MINIFS('Raw Data'!$I$2:$I$81,'Raw Data'!$C$2:$C$81,$C60))/(MAXIFS('Raw Data'!$I$2:$I$81,'Raw Data'!$C$2:$C$81,$C60)-MINIFS('Raw Data'!$I$2:$I$81,'Raw Data'!$C$2:$C$81,$C60))*100,50)</f>
        <v/>
      </c>
      <c r="I60" s="6">
        <f>100-IFERROR(('Raw Data'!H60-MINIFS('Raw Data'!$H$2:$H$81,'Raw Data'!$C$2:$C$81,$C60))/(MAXIFS('Raw Data'!$H$2:$H$81,'Raw Data'!$C$2:$C$81,$C60)-MINIFS('Raw Data'!$H$2:$H$81,'Raw Data'!$C$2:$C$81,$C60))*100,50)</f>
        <v/>
      </c>
      <c r="J60" s="6">
        <f>IFERROR(('Raw Data'!J60-MINIFS('Raw Data'!$J$2:$J$81,'Raw Data'!$C$2:$C$81,$C60))/(MAXIFS('Raw Data'!$J$2:$J$81,'Raw Data'!$C$2:$C$81,$C60)-MINIFS('Raw Data'!$J$2:$J$81,'Raw Data'!$C$2:$C$81,$C60))*100,50)</f>
        <v/>
      </c>
    </row>
    <row r="61">
      <c r="A61">
        <f>'Raw Data'!A61</f>
        <v/>
      </c>
      <c r="B61">
        <f>'Raw Data'!B61</f>
        <v/>
      </c>
      <c r="C61">
        <f>'Raw Data'!C61</f>
        <v/>
      </c>
      <c r="D61" s="6">
        <f>IFERROR(('Raw Data'!G61-MINIFS('Raw Data'!$G$2:$G$81,'Raw Data'!$C$2:$C$81,$C61))/(MAXIFS('Raw Data'!$G$2:$G$81,'Raw Data'!$C$2:$C$81,$C61)-MINIFS('Raw Data'!$G$2:$G$81,'Raw Data'!$C$2:$C$81,$C61))*100,50)</f>
        <v/>
      </c>
      <c r="E61" s="6">
        <f>IFERROR(('Raw Data'!E61-MINIFS('Raw Data'!$E$2:$E$81,'Raw Data'!$C$2:$C$81,$C61))/(MAXIFS('Raw Data'!$E$2:$E$81,'Raw Data'!$C$2:$C$81,$C61)-MINIFS('Raw Data'!$E$2:$E$81,'Raw Data'!$C$2:$C$81,$C61))*100,50)</f>
        <v/>
      </c>
      <c r="F61" s="6">
        <f>IFERROR(('Raw Data'!F61-MINIFS('Raw Data'!$F$2:$F$81,'Raw Data'!$C$2:$C$81,$C61))/(MAXIFS('Raw Data'!$F$2:$F$81,'Raw Data'!$C$2:$C$81,$C61)-MINIFS('Raw Data'!$F$2:$F$81,'Raw Data'!$C$2:$C$81,$C61))*100,50)</f>
        <v/>
      </c>
      <c r="G61" s="6">
        <f>IFERROR(('Raw Data'!K61-MINIFS('Raw Data'!$K$2:$K$81,'Raw Data'!$C$2:$C$81,$C61))/(MAXIFS('Raw Data'!$K$2:$K$81,'Raw Data'!$C$2:$C$81,$C61)-MINIFS('Raw Data'!$K$2:$K$81,'Raw Data'!$C$2:$C$81,$C61))*100,50)</f>
        <v/>
      </c>
      <c r="H61" s="6">
        <f>IFERROR(('Raw Data'!I61-MINIFS('Raw Data'!$I$2:$I$81,'Raw Data'!$C$2:$C$81,$C61))/(MAXIFS('Raw Data'!$I$2:$I$81,'Raw Data'!$C$2:$C$81,$C61)-MINIFS('Raw Data'!$I$2:$I$81,'Raw Data'!$C$2:$C$81,$C61))*100,50)</f>
        <v/>
      </c>
      <c r="I61" s="6">
        <f>100-IFERROR(('Raw Data'!H61-MINIFS('Raw Data'!$H$2:$H$81,'Raw Data'!$C$2:$C$81,$C61))/(MAXIFS('Raw Data'!$H$2:$H$81,'Raw Data'!$C$2:$C$81,$C61)-MINIFS('Raw Data'!$H$2:$H$81,'Raw Data'!$C$2:$C$81,$C61))*100,50)</f>
        <v/>
      </c>
      <c r="J61" s="6">
        <f>IFERROR(('Raw Data'!J61-MINIFS('Raw Data'!$J$2:$J$81,'Raw Data'!$C$2:$C$81,$C61))/(MAXIFS('Raw Data'!$J$2:$J$81,'Raw Data'!$C$2:$C$81,$C61)-MINIFS('Raw Data'!$J$2:$J$81,'Raw Data'!$C$2:$C$81,$C61))*100,50)</f>
        <v/>
      </c>
    </row>
    <row r="62">
      <c r="A62">
        <f>'Raw Data'!A62</f>
        <v/>
      </c>
      <c r="B62">
        <f>'Raw Data'!B62</f>
        <v/>
      </c>
      <c r="C62">
        <f>'Raw Data'!C62</f>
        <v/>
      </c>
      <c r="D62" s="6">
        <f>IFERROR(('Raw Data'!G62-MINIFS('Raw Data'!$G$2:$G$81,'Raw Data'!$C$2:$C$81,$C62))/(MAXIFS('Raw Data'!$G$2:$G$81,'Raw Data'!$C$2:$C$81,$C62)-MINIFS('Raw Data'!$G$2:$G$81,'Raw Data'!$C$2:$C$81,$C62))*100,50)</f>
        <v/>
      </c>
      <c r="E62" s="6">
        <f>IFERROR(('Raw Data'!E62-MINIFS('Raw Data'!$E$2:$E$81,'Raw Data'!$C$2:$C$81,$C62))/(MAXIFS('Raw Data'!$E$2:$E$81,'Raw Data'!$C$2:$C$81,$C62)-MINIFS('Raw Data'!$E$2:$E$81,'Raw Data'!$C$2:$C$81,$C62))*100,50)</f>
        <v/>
      </c>
      <c r="F62" s="6">
        <f>IFERROR(('Raw Data'!F62-MINIFS('Raw Data'!$F$2:$F$81,'Raw Data'!$C$2:$C$81,$C62))/(MAXIFS('Raw Data'!$F$2:$F$81,'Raw Data'!$C$2:$C$81,$C62)-MINIFS('Raw Data'!$F$2:$F$81,'Raw Data'!$C$2:$C$81,$C62))*100,50)</f>
        <v/>
      </c>
      <c r="G62" s="6">
        <f>IFERROR(('Raw Data'!K62-MINIFS('Raw Data'!$K$2:$K$81,'Raw Data'!$C$2:$C$81,$C62))/(MAXIFS('Raw Data'!$K$2:$K$81,'Raw Data'!$C$2:$C$81,$C62)-MINIFS('Raw Data'!$K$2:$K$81,'Raw Data'!$C$2:$C$81,$C62))*100,50)</f>
        <v/>
      </c>
      <c r="H62" s="6">
        <f>IFERROR(('Raw Data'!I62-MINIFS('Raw Data'!$I$2:$I$81,'Raw Data'!$C$2:$C$81,$C62))/(MAXIFS('Raw Data'!$I$2:$I$81,'Raw Data'!$C$2:$C$81,$C62)-MINIFS('Raw Data'!$I$2:$I$81,'Raw Data'!$C$2:$C$81,$C62))*100,50)</f>
        <v/>
      </c>
      <c r="I62" s="6">
        <f>100-IFERROR(('Raw Data'!H62-MINIFS('Raw Data'!$H$2:$H$81,'Raw Data'!$C$2:$C$81,$C62))/(MAXIFS('Raw Data'!$H$2:$H$81,'Raw Data'!$C$2:$C$81,$C62)-MINIFS('Raw Data'!$H$2:$H$81,'Raw Data'!$C$2:$C$81,$C62))*100,50)</f>
        <v/>
      </c>
      <c r="J62" s="6">
        <f>IFERROR(('Raw Data'!J62-MINIFS('Raw Data'!$J$2:$J$81,'Raw Data'!$C$2:$C$81,$C62))/(MAXIFS('Raw Data'!$J$2:$J$81,'Raw Data'!$C$2:$C$81,$C62)-MINIFS('Raw Data'!$J$2:$J$81,'Raw Data'!$C$2:$C$81,$C62))*100,50)</f>
        <v/>
      </c>
    </row>
    <row r="63">
      <c r="A63">
        <f>'Raw Data'!A63</f>
        <v/>
      </c>
      <c r="B63">
        <f>'Raw Data'!B63</f>
        <v/>
      </c>
      <c r="C63">
        <f>'Raw Data'!C63</f>
        <v/>
      </c>
      <c r="D63" s="6">
        <f>IFERROR(('Raw Data'!G63-MINIFS('Raw Data'!$G$2:$G$81,'Raw Data'!$C$2:$C$81,$C63))/(MAXIFS('Raw Data'!$G$2:$G$81,'Raw Data'!$C$2:$C$81,$C63)-MINIFS('Raw Data'!$G$2:$G$81,'Raw Data'!$C$2:$C$81,$C63))*100,50)</f>
        <v/>
      </c>
      <c r="E63" s="6">
        <f>IFERROR(('Raw Data'!E63-MINIFS('Raw Data'!$E$2:$E$81,'Raw Data'!$C$2:$C$81,$C63))/(MAXIFS('Raw Data'!$E$2:$E$81,'Raw Data'!$C$2:$C$81,$C63)-MINIFS('Raw Data'!$E$2:$E$81,'Raw Data'!$C$2:$C$81,$C63))*100,50)</f>
        <v/>
      </c>
      <c r="F63" s="6">
        <f>IFERROR(('Raw Data'!F63-MINIFS('Raw Data'!$F$2:$F$81,'Raw Data'!$C$2:$C$81,$C63))/(MAXIFS('Raw Data'!$F$2:$F$81,'Raw Data'!$C$2:$C$81,$C63)-MINIFS('Raw Data'!$F$2:$F$81,'Raw Data'!$C$2:$C$81,$C63))*100,50)</f>
        <v/>
      </c>
      <c r="G63" s="6">
        <f>IFERROR(('Raw Data'!K63-MINIFS('Raw Data'!$K$2:$K$81,'Raw Data'!$C$2:$C$81,$C63))/(MAXIFS('Raw Data'!$K$2:$K$81,'Raw Data'!$C$2:$C$81,$C63)-MINIFS('Raw Data'!$K$2:$K$81,'Raw Data'!$C$2:$C$81,$C63))*100,50)</f>
        <v/>
      </c>
      <c r="H63" s="6">
        <f>IFERROR(('Raw Data'!I63-MINIFS('Raw Data'!$I$2:$I$81,'Raw Data'!$C$2:$C$81,$C63))/(MAXIFS('Raw Data'!$I$2:$I$81,'Raw Data'!$C$2:$C$81,$C63)-MINIFS('Raw Data'!$I$2:$I$81,'Raw Data'!$C$2:$C$81,$C63))*100,50)</f>
        <v/>
      </c>
      <c r="I63" s="6">
        <f>100-IFERROR(('Raw Data'!H63-MINIFS('Raw Data'!$H$2:$H$81,'Raw Data'!$C$2:$C$81,$C63))/(MAXIFS('Raw Data'!$H$2:$H$81,'Raw Data'!$C$2:$C$81,$C63)-MINIFS('Raw Data'!$H$2:$H$81,'Raw Data'!$C$2:$C$81,$C63))*100,50)</f>
        <v/>
      </c>
      <c r="J63" s="6">
        <f>IFERROR(('Raw Data'!J63-MINIFS('Raw Data'!$J$2:$J$81,'Raw Data'!$C$2:$C$81,$C63))/(MAXIFS('Raw Data'!$J$2:$J$81,'Raw Data'!$C$2:$C$81,$C63)-MINIFS('Raw Data'!$J$2:$J$81,'Raw Data'!$C$2:$C$81,$C63))*100,50)</f>
        <v/>
      </c>
    </row>
    <row r="64">
      <c r="A64">
        <f>'Raw Data'!A64</f>
        <v/>
      </c>
      <c r="B64">
        <f>'Raw Data'!B64</f>
        <v/>
      </c>
      <c r="C64">
        <f>'Raw Data'!C64</f>
        <v/>
      </c>
      <c r="D64" s="6">
        <f>IFERROR(('Raw Data'!G64-MINIFS('Raw Data'!$G$2:$G$81,'Raw Data'!$C$2:$C$81,$C64))/(MAXIFS('Raw Data'!$G$2:$G$81,'Raw Data'!$C$2:$C$81,$C64)-MINIFS('Raw Data'!$G$2:$G$81,'Raw Data'!$C$2:$C$81,$C64))*100,50)</f>
        <v/>
      </c>
      <c r="E64" s="6">
        <f>IFERROR(('Raw Data'!E64-MINIFS('Raw Data'!$E$2:$E$81,'Raw Data'!$C$2:$C$81,$C64))/(MAXIFS('Raw Data'!$E$2:$E$81,'Raw Data'!$C$2:$C$81,$C64)-MINIFS('Raw Data'!$E$2:$E$81,'Raw Data'!$C$2:$C$81,$C64))*100,50)</f>
        <v/>
      </c>
      <c r="F64" s="6">
        <f>IFERROR(('Raw Data'!F64-MINIFS('Raw Data'!$F$2:$F$81,'Raw Data'!$C$2:$C$81,$C64))/(MAXIFS('Raw Data'!$F$2:$F$81,'Raw Data'!$C$2:$C$81,$C64)-MINIFS('Raw Data'!$F$2:$F$81,'Raw Data'!$C$2:$C$81,$C64))*100,50)</f>
        <v/>
      </c>
      <c r="G64" s="6">
        <f>IFERROR(('Raw Data'!K64-MINIFS('Raw Data'!$K$2:$K$81,'Raw Data'!$C$2:$C$81,$C64))/(MAXIFS('Raw Data'!$K$2:$K$81,'Raw Data'!$C$2:$C$81,$C64)-MINIFS('Raw Data'!$K$2:$K$81,'Raw Data'!$C$2:$C$81,$C64))*100,50)</f>
        <v/>
      </c>
      <c r="H64" s="6">
        <f>IFERROR(('Raw Data'!I64-MINIFS('Raw Data'!$I$2:$I$81,'Raw Data'!$C$2:$C$81,$C64))/(MAXIFS('Raw Data'!$I$2:$I$81,'Raw Data'!$C$2:$C$81,$C64)-MINIFS('Raw Data'!$I$2:$I$81,'Raw Data'!$C$2:$C$81,$C64))*100,50)</f>
        <v/>
      </c>
      <c r="I64" s="6">
        <f>100-IFERROR(('Raw Data'!H64-MINIFS('Raw Data'!$H$2:$H$81,'Raw Data'!$C$2:$C$81,$C64))/(MAXIFS('Raw Data'!$H$2:$H$81,'Raw Data'!$C$2:$C$81,$C64)-MINIFS('Raw Data'!$H$2:$H$81,'Raw Data'!$C$2:$C$81,$C64))*100,50)</f>
        <v/>
      </c>
      <c r="J64" s="6">
        <f>IFERROR(('Raw Data'!J64-MINIFS('Raw Data'!$J$2:$J$81,'Raw Data'!$C$2:$C$81,$C64))/(MAXIFS('Raw Data'!$J$2:$J$81,'Raw Data'!$C$2:$C$81,$C64)-MINIFS('Raw Data'!$J$2:$J$81,'Raw Data'!$C$2:$C$81,$C64))*100,50)</f>
        <v/>
      </c>
    </row>
    <row r="65">
      <c r="A65">
        <f>'Raw Data'!A65</f>
        <v/>
      </c>
      <c r="B65">
        <f>'Raw Data'!B65</f>
        <v/>
      </c>
      <c r="C65">
        <f>'Raw Data'!C65</f>
        <v/>
      </c>
      <c r="D65" s="6">
        <f>IFERROR(('Raw Data'!G65-MINIFS('Raw Data'!$G$2:$G$81,'Raw Data'!$C$2:$C$81,$C65))/(MAXIFS('Raw Data'!$G$2:$G$81,'Raw Data'!$C$2:$C$81,$C65)-MINIFS('Raw Data'!$G$2:$G$81,'Raw Data'!$C$2:$C$81,$C65))*100,50)</f>
        <v/>
      </c>
      <c r="E65" s="6">
        <f>IFERROR(('Raw Data'!E65-MINIFS('Raw Data'!$E$2:$E$81,'Raw Data'!$C$2:$C$81,$C65))/(MAXIFS('Raw Data'!$E$2:$E$81,'Raw Data'!$C$2:$C$81,$C65)-MINIFS('Raw Data'!$E$2:$E$81,'Raw Data'!$C$2:$C$81,$C65))*100,50)</f>
        <v/>
      </c>
      <c r="F65" s="6">
        <f>IFERROR(('Raw Data'!F65-MINIFS('Raw Data'!$F$2:$F$81,'Raw Data'!$C$2:$C$81,$C65))/(MAXIFS('Raw Data'!$F$2:$F$81,'Raw Data'!$C$2:$C$81,$C65)-MINIFS('Raw Data'!$F$2:$F$81,'Raw Data'!$C$2:$C$81,$C65))*100,50)</f>
        <v/>
      </c>
      <c r="G65" s="6">
        <f>IFERROR(('Raw Data'!K65-MINIFS('Raw Data'!$K$2:$K$81,'Raw Data'!$C$2:$C$81,$C65))/(MAXIFS('Raw Data'!$K$2:$K$81,'Raw Data'!$C$2:$C$81,$C65)-MINIFS('Raw Data'!$K$2:$K$81,'Raw Data'!$C$2:$C$81,$C65))*100,50)</f>
        <v/>
      </c>
      <c r="H65" s="6">
        <f>IFERROR(('Raw Data'!I65-MINIFS('Raw Data'!$I$2:$I$81,'Raw Data'!$C$2:$C$81,$C65))/(MAXIFS('Raw Data'!$I$2:$I$81,'Raw Data'!$C$2:$C$81,$C65)-MINIFS('Raw Data'!$I$2:$I$81,'Raw Data'!$C$2:$C$81,$C65))*100,50)</f>
        <v/>
      </c>
      <c r="I65" s="6">
        <f>100-IFERROR(('Raw Data'!H65-MINIFS('Raw Data'!$H$2:$H$81,'Raw Data'!$C$2:$C$81,$C65))/(MAXIFS('Raw Data'!$H$2:$H$81,'Raw Data'!$C$2:$C$81,$C65)-MINIFS('Raw Data'!$H$2:$H$81,'Raw Data'!$C$2:$C$81,$C65))*100,50)</f>
        <v/>
      </c>
      <c r="J65" s="6">
        <f>IFERROR(('Raw Data'!J65-MINIFS('Raw Data'!$J$2:$J$81,'Raw Data'!$C$2:$C$81,$C65))/(MAXIFS('Raw Data'!$J$2:$J$81,'Raw Data'!$C$2:$C$81,$C65)-MINIFS('Raw Data'!$J$2:$J$81,'Raw Data'!$C$2:$C$81,$C65))*100,50)</f>
        <v/>
      </c>
    </row>
    <row r="66">
      <c r="A66">
        <f>'Raw Data'!A66</f>
        <v/>
      </c>
      <c r="B66">
        <f>'Raw Data'!B66</f>
        <v/>
      </c>
      <c r="C66">
        <f>'Raw Data'!C66</f>
        <v/>
      </c>
      <c r="D66" s="6">
        <f>IFERROR(('Raw Data'!G66-MINIFS('Raw Data'!$G$2:$G$81,'Raw Data'!$C$2:$C$81,$C66))/(MAXIFS('Raw Data'!$G$2:$G$81,'Raw Data'!$C$2:$C$81,$C66)-MINIFS('Raw Data'!$G$2:$G$81,'Raw Data'!$C$2:$C$81,$C66))*100,50)</f>
        <v/>
      </c>
      <c r="E66" s="6">
        <f>IFERROR(('Raw Data'!E66-MINIFS('Raw Data'!$E$2:$E$81,'Raw Data'!$C$2:$C$81,$C66))/(MAXIFS('Raw Data'!$E$2:$E$81,'Raw Data'!$C$2:$C$81,$C66)-MINIFS('Raw Data'!$E$2:$E$81,'Raw Data'!$C$2:$C$81,$C66))*100,50)</f>
        <v/>
      </c>
      <c r="F66" s="6">
        <f>IFERROR(('Raw Data'!F66-MINIFS('Raw Data'!$F$2:$F$81,'Raw Data'!$C$2:$C$81,$C66))/(MAXIFS('Raw Data'!$F$2:$F$81,'Raw Data'!$C$2:$C$81,$C66)-MINIFS('Raw Data'!$F$2:$F$81,'Raw Data'!$C$2:$C$81,$C66))*100,50)</f>
        <v/>
      </c>
      <c r="G66" s="6">
        <f>IFERROR(('Raw Data'!K66-MINIFS('Raw Data'!$K$2:$K$81,'Raw Data'!$C$2:$C$81,$C66))/(MAXIFS('Raw Data'!$K$2:$K$81,'Raw Data'!$C$2:$C$81,$C66)-MINIFS('Raw Data'!$K$2:$K$81,'Raw Data'!$C$2:$C$81,$C66))*100,50)</f>
        <v/>
      </c>
      <c r="H66" s="6">
        <f>IFERROR(('Raw Data'!I66-MINIFS('Raw Data'!$I$2:$I$81,'Raw Data'!$C$2:$C$81,$C66))/(MAXIFS('Raw Data'!$I$2:$I$81,'Raw Data'!$C$2:$C$81,$C66)-MINIFS('Raw Data'!$I$2:$I$81,'Raw Data'!$C$2:$C$81,$C66))*100,50)</f>
        <v/>
      </c>
      <c r="I66" s="6">
        <f>100-IFERROR(('Raw Data'!H66-MINIFS('Raw Data'!$H$2:$H$81,'Raw Data'!$C$2:$C$81,$C66))/(MAXIFS('Raw Data'!$H$2:$H$81,'Raw Data'!$C$2:$C$81,$C66)-MINIFS('Raw Data'!$H$2:$H$81,'Raw Data'!$C$2:$C$81,$C66))*100,50)</f>
        <v/>
      </c>
      <c r="J66" s="6">
        <f>IFERROR(('Raw Data'!J66-MINIFS('Raw Data'!$J$2:$J$81,'Raw Data'!$C$2:$C$81,$C66))/(MAXIFS('Raw Data'!$J$2:$J$81,'Raw Data'!$C$2:$C$81,$C66)-MINIFS('Raw Data'!$J$2:$J$81,'Raw Data'!$C$2:$C$81,$C66))*100,50)</f>
        <v/>
      </c>
    </row>
    <row r="67">
      <c r="A67">
        <f>'Raw Data'!A67</f>
        <v/>
      </c>
      <c r="B67">
        <f>'Raw Data'!B67</f>
        <v/>
      </c>
      <c r="C67">
        <f>'Raw Data'!C67</f>
        <v/>
      </c>
      <c r="D67" s="6">
        <f>IFERROR(('Raw Data'!G67-MINIFS('Raw Data'!$G$2:$G$81,'Raw Data'!$C$2:$C$81,$C67))/(MAXIFS('Raw Data'!$G$2:$G$81,'Raw Data'!$C$2:$C$81,$C67)-MINIFS('Raw Data'!$G$2:$G$81,'Raw Data'!$C$2:$C$81,$C67))*100,50)</f>
        <v/>
      </c>
      <c r="E67" s="6">
        <f>IFERROR(('Raw Data'!E67-MINIFS('Raw Data'!$E$2:$E$81,'Raw Data'!$C$2:$C$81,$C67))/(MAXIFS('Raw Data'!$E$2:$E$81,'Raw Data'!$C$2:$C$81,$C67)-MINIFS('Raw Data'!$E$2:$E$81,'Raw Data'!$C$2:$C$81,$C67))*100,50)</f>
        <v/>
      </c>
      <c r="F67" s="6">
        <f>IFERROR(('Raw Data'!F67-MINIFS('Raw Data'!$F$2:$F$81,'Raw Data'!$C$2:$C$81,$C67))/(MAXIFS('Raw Data'!$F$2:$F$81,'Raw Data'!$C$2:$C$81,$C67)-MINIFS('Raw Data'!$F$2:$F$81,'Raw Data'!$C$2:$C$81,$C67))*100,50)</f>
        <v/>
      </c>
      <c r="G67" s="6">
        <f>IFERROR(('Raw Data'!K67-MINIFS('Raw Data'!$K$2:$K$81,'Raw Data'!$C$2:$C$81,$C67))/(MAXIFS('Raw Data'!$K$2:$K$81,'Raw Data'!$C$2:$C$81,$C67)-MINIFS('Raw Data'!$K$2:$K$81,'Raw Data'!$C$2:$C$81,$C67))*100,50)</f>
        <v/>
      </c>
      <c r="H67" s="6">
        <f>IFERROR(('Raw Data'!I67-MINIFS('Raw Data'!$I$2:$I$81,'Raw Data'!$C$2:$C$81,$C67))/(MAXIFS('Raw Data'!$I$2:$I$81,'Raw Data'!$C$2:$C$81,$C67)-MINIFS('Raw Data'!$I$2:$I$81,'Raw Data'!$C$2:$C$81,$C67))*100,50)</f>
        <v/>
      </c>
      <c r="I67" s="6">
        <f>100-IFERROR(('Raw Data'!H67-MINIFS('Raw Data'!$H$2:$H$81,'Raw Data'!$C$2:$C$81,$C67))/(MAXIFS('Raw Data'!$H$2:$H$81,'Raw Data'!$C$2:$C$81,$C67)-MINIFS('Raw Data'!$H$2:$H$81,'Raw Data'!$C$2:$C$81,$C67))*100,50)</f>
        <v/>
      </c>
      <c r="J67" s="6">
        <f>IFERROR(('Raw Data'!J67-MINIFS('Raw Data'!$J$2:$J$81,'Raw Data'!$C$2:$C$81,$C67))/(MAXIFS('Raw Data'!$J$2:$J$81,'Raw Data'!$C$2:$C$81,$C67)-MINIFS('Raw Data'!$J$2:$J$81,'Raw Data'!$C$2:$C$81,$C67))*100,50)</f>
        <v/>
      </c>
    </row>
    <row r="68">
      <c r="A68">
        <f>'Raw Data'!A68</f>
        <v/>
      </c>
      <c r="B68">
        <f>'Raw Data'!B68</f>
        <v/>
      </c>
      <c r="C68">
        <f>'Raw Data'!C68</f>
        <v/>
      </c>
      <c r="D68" s="6">
        <f>IFERROR(('Raw Data'!G68-MINIFS('Raw Data'!$G$2:$G$81,'Raw Data'!$C$2:$C$81,$C68))/(MAXIFS('Raw Data'!$G$2:$G$81,'Raw Data'!$C$2:$C$81,$C68)-MINIFS('Raw Data'!$G$2:$G$81,'Raw Data'!$C$2:$C$81,$C68))*100,50)</f>
        <v/>
      </c>
      <c r="E68" s="6">
        <f>IFERROR(('Raw Data'!E68-MINIFS('Raw Data'!$E$2:$E$81,'Raw Data'!$C$2:$C$81,$C68))/(MAXIFS('Raw Data'!$E$2:$E$81,'Raw Data'!$C$2:$C$81,$C68)-MINIFS('Raw Data'!$E$2:$E$81,'Raw Data'!$C$2:$C$81,$C68))*100,50)</f>
        <v/>
      </c>
      <c r="F68" s="6">
        <f>IFERROR(('Raw Data'!F68-MINIFS('Raw Data'!$F$2:$F$81,'Raw Data'!$C$2:$C$81,$C68))/(MAXIFS('Raw Data'!$F$2:$F$81,'Raw Data'!$C$2:$C$81,$C68)-MINIFS('Raw Data'!$F$2:$F$81,'Raw Data'!$C$2:$C$81,$C68))*100,50)</f>
        <v/>
      </c>
      <c r="G68" s="6">
        <f>IFERROR(('Raw Data'!K68-MINIFS('Raw Data'!$K$2:$K$81,'Raw Data'!$C$2:$C$81,$C68))/(MAXIFS('Raw Data'!$K$2:$K$81,'Raw Data'!$C$2:$C$81,$C68)-MINIFS('Raw Data'!$K$2:$K$81,'Raw Data'!$C$2:$C$81,$C68))*100,50)</f>
        <v/>
      </c>
      <c r="H68" s="6">
        <f>IFERROR(('Raw Data'!I68-MINIFS('Raw Data'!$I$2:$I$81,'Raw Data'!$C$2:$C$81,$C68))/(MAXIFS('Raw Data'!$I$2:$I$81,'Raw Data'!$C$2:$C$81,$C68)-MINIFS('Raw Data'!$I$2:$I$81,'Raw Data'!$C$2:$C$81,$C68))*100,50)</f>
        <v/>
      </c>
      <c r="I68" s="6">
        <f>100-IFERROR(('Raw Data'!H68-MINIFS('Raw Data'!$H$2:$H$81,'Raw Data'!$C$2:$C$81,$C68))/(MAXIFS('Raw Data'!$H$2:$H$81,'Raw Data'!$C$2:$C$81,$C68)-MINIFS('Raw Data'!$H$2:$H$81,'Raw Data'!$C$2:$C$81,$C68))*100,50)</f>
        <v/>
      </c>
      <c r="J68" s="6">
        <f>IFERROR(('Raw Data'!J68-MINIFS('Raw Data'!$J$2:$J$81,'Raw Data'!$C$2:$C$81,$C68))/(MAXIFS('Raw Data'!$J$2:$J$81,'Raw Data'!$C$2:$C$81,$C68)-MINIFS('Raw Data'!$J$2:$J$81,'Raw Data'!$C$2:$C$81,$C68))*100,50)</f>
        <v/>
      </c>
    </row>
    <row r="69">
      <c r="A69">
        <f>'Raw Data'!A69</f>
        <v/>
      </c>
      <c r="B69">
        <f>'Raw Data'!B69</f>
        <v/>
      </c>
      <c r="C69">
        <f>'Raw Data'!C69</f>
        <v/>
      </c>
      <c r="D69" s="6">
        <f>IFERROR(('Raw Data'!G69-MINIFS('Raw Data'!$G$2:$G$81,'Raw Data'!$C$2:$C$81,$C69))/(MAXIFS('Raw Data'!$G$2:$G$81,'Raw Data'!$C$2:$C$81,$C69)-MINIFS('Raw Data'!$G$2:$G$81,'Raw Data'!$C$2:$C$81,$C69))*100,50)</f>
        <v/>
      </c>
      <c r="E69" s="6">
        <f>IFERROR(('Raw Data'!E69-MINIFS('Raw Data'!$E$2:$E$81,'Raw Data'!$C$2:$C$81,$C69))/(MAXIFS('Raw Data'!$E$2:$E$81,'Raw Data'!$C$2:$C$81,$C69)-MINIFS('Raw Data'!$E$2:$E$81,'Raw Data'!$C$2:$C$81,$C69))*100,50)</f>
        <v/>
      </c>
      <c r="F69" s="6">
        <f>IFERROR(('Raw Data'!F69-MINIFS('Raw Data'!$F$2:$F$81,'Raw Data'!$C$2:$C$81,$C69))/(MAXIFS('Raw Data'!$F$2:$F$81,'Raw Data'!$C$2:$C$81,$C69)-MINIFS('Raw Data'!$F$2:$F$81,'Raw Data'!$C$2:$C$81,$C69))*100,50)</f>
        <v/>
      </c>
      <c r="G69" s="6">
        <f>IFERROR(('Raw Data'!K69-MINIFS('Raw Data'!$K$2:$K$81,'Raw Data'!$C$2:$C$81,$C69))/(MAXIFS('Raw Data'!$K$2:$K$81,'Raw Data'!$C$2:$C$81,$C69)-MINIFS('Raw Data'!$K$2:$K$81,'Raw Data'!$C$2:$C$81,$C69))*100,50)</f>
        <v/>
      </c>
      <c r="H69" s="6">
        <f>IFERROR(('Raw Data'!I69-MINIFS('Raw Data'!$I$2:$I$81,'Raw Data'!$C$2:$C$81,$C69))/(MAXIFS('Raw Data'!$I$2:$I$81,'Raw Data'!$C$2:$C$81,$C69)-MINIFS('Raw Data'!$I$2:$I$81,'Raw Data'!$C$2:$C$81,$C69))*100,50)</f>
        <v/>
      </c>
      <c r="I69" s="6">
        <f>100-IFERROR(('Raw Data'!H69-MINIFS('Raw Data'!$H$2:$H$81,'Raw Data'!$C$2:$C$81,$C69))/(MAXIFS('Raw Data'!$H$2:$H$81,'Raw Data'!$C$2:$C$81,$C69)-MINIFS('Raw Data'!$H$2:$H$81,'Raw Data'!$C$2:$C$81,$C69))*100,50)</f>
        <v/>
      </c>
      <c r="J69" s="6">
        <f>IFERROR(('Raw Data'!J69-MINIFS('Raw Data'!$J$2:$J$81,'Raw Data'!$C$2:$C$81,$C69))/(MAXIFS('Raw Data'!$J$2:$J$81,'Raw Data'!$C$2:$C$81,$C69)-MINIFS('Raw Data'!$J$2:$J$81,'Raw Data'!$C$2:$C$81,$C69))*100,50)</f>
        <v/>
      </c>
    </row>
    <row r="70">
      <c r="A70">
        <f>'Raw Data'!A70</f>
        <v/>
      </c>
      <c r="B70">
        <f>'Raw Data'!B70</f>
        <v/>
      </c>
      <c r="C70">
        <f>'Raw Data'!C70</f>
        <v/>
      </c>
      <c r="D70" s="6">
        <f>IFERROR(('Raw Data'!G70-MINIFS('Raw Data'!$G$2:$G$81,'Raw Data'!$C$2:$C$81,$C70))/(MAXIFS('Raw Data'!$G$2:$G$81,'Raw Data'!$C$2:$C$81,$C70)-MINIFS('Raw Data'!$G$2:$G$81,'Raw Data'!$C$2:$C$81,$C70))*100,50)</f>
        <v/>
      </c>
      <c r="E70" s="6">
        <f>IFERROR(('Raw Data'!E70-MINIFS('Raw Data'!$E$2:$E$81,'Raw Data'!$C$2:$C$81,$C70))/(MAXIFS('Raw Data'!$E$2:$E$81,'Raw Data'!$C$2:$C$81,$C70)-MINIFS('Raw Data'!$E$2:$E$81,'Raw Data'!$C$2:$C$81,$C70))*100,50)</f>
        <v/>
      </c>
      <c r="F70" s="6">
        <f>IFERROR(('Raw Data'!F70-MINIFS('Raw Data'!$F$2:$F$81,'Raw Data'!$C$2:$C$81,$C70))/(MAXIFS('Raw Data'!$F$2:$F$81,'Raw Data'!$C$2:$C$81,$C70)-MINIFS('Raw Data'!$F$2:$F$81,'Raw Data'!$C$2:$C$81,$C70))*100,50)</f>
        <v/>
      </c>
      <c r="G70" s="6">
        <f>IFERROR(('Raw Data'!K70-MINIFS('Raw Data'!$K$2:$K$81,'Raw Data'!$C$2:$C$81,$C70))/(MAXIFS('Raw Data'!$K$2:$K$81,'Raw Data'!$C$2:$C$81,$C70)-MINIFS('Raw Data'!$K$2:$K$81,'Raw Data'!$C$2:$C$81,$C70))*100,50)</f>
        <v/>
      </c>
      <c r="H70" s="6">
        <f>IFERROR(('Raw Data'!I70-MINIFS('Raw Data'!$I$2:$I$81,'Raw Data'!$C$2:$C$81,$C70))/(MAXIFS('Raw Data'!$I$2:$I$81,'Raw Data'!$C$2:$C$81,$C70)-MINIFS('Raw Data'!$I$2:$I$81,'Raw Data'!$C$2:$C$81,$C70))*100,50)</f>
        <v/>
      </c>
      <c r="I70" s="6">
        <f>100-IFERROR(('Raw Data'!H70-MINIFS('Raw Data'!$H$2:$H$81,'Raw Data'!$C$2:$C$81,$C70))/(MAXIFS('Raw Data'!$H$2:$H$81,'Raw Data'!$C$2:$C$81,$C70)-MINIFS('Raw Data'!$H$2:$H$81,'Raw Data'!$C$2:$C$81,$C70))*100,50)</f>
        <v/>
      </c>
      <c r="J70" s="6">
        <f>IFERROR(('Raw Data'!J70-MINIFS('Raw Data'!$J$2:$J$81,'Raw Data'!$C$2:$C$81,$C70))/(MAXIFS('Raw Data'!$J$2:$J$81,'Raw Data'!$C$2:$C$81,$C70)-MINIFS('Raw Data'!$J$2:$J$81,'Raw Data'!$C$2:$C$81,$C70))*100,50)</f>
        <v/>
      </c>
    </row>
    <row r="71">
      <c r="A71">
        <f>'Raw Data'!A71</f>
        <v/>
      </c>
      <c r="B71">
        <f>'Raw Data'!B71</f>
        <v/>
      </c>
      <c r="C71">
        <f>'Raw Data'!C71</f>
        <v/>
      </c>
      <c r="D71" s="6">
        <f>IFERROR(('Raw Data'!G71-MINIFS('Raw Data'!$G$2:$G$81,'Raw Data'!$C$2:$C$81,$C71))/(MAXIFS('Raw Data'!$G$2:$G$81,'Raw Data'!$C$2:$C$81,$C71)-MINIFS('Raw Data'!$G$2:$G$81,'Raw Data'!$C$2:$C$81,$C71))*100,50)</f>
        <v/>
      </c>
      <c r="E71" s="6">
        <f>IFERROR(('Raw Data'!E71-MINIFS('Raw Data'!$E$2:$E$81,'Raw Data'!$C$2:$C$81,$C71))/(MAXIFS('Raw Data'!$E$2:$E$81,'Raw Data'!$C$2:$C$81,$C71)-MINIFS('Raw Data'!$E$2:$E$81,'Raw Data'!$C$2:$C$81,$C71))*100,50)</f>
        <v/>
      </c>
      <c r="F71" s="6">
        <f>IFERROR(('Raw Data'!F71-MINIFS('Raw Data'!$F$2:$F$81,'Raw Data'!$C$2:$C$81,$C71))/(MAXIFS('Raw Data'!$F$2:$F$81,'Raw Data'!$C$2:$C$81,$C71)-MINIFS('Raw Data'!$F$2:$F$81,'Raw Data'!$C$2:$C$81,$C71))*100,50)</f>
        <v/>
      </c>
      <c r="G71" s="6">
        <f>IFERROR(('Raw Data'!K71-MINIFS('Raw Data'!$K$2:$K$81,'Raw Data'!$C$2:$C$81,$C71))/(MAXIFS('Raw Data'!$K$2:$K$81,'Raw Data'!$C$2:$C$81,$C71)-MINIFS('Raw Data'!$K$2:$K$81,'Raw Data'!$C$2:$C$81,$C71))*100,50)</f>
        <v/>
      </c>
      <c r="H71" s="6">
        <f>IFERROR(('Raw Data'!I71-MINIFS('Raw Data'!$I$2:$I$81,'Raw Data'!$C$2:$C$81,$C71))/(MAXIFS('Raw Data'!$I$2:$I$81,'Raw Data'!$C$2:$C$81,$C71)-MINIFS('Raw Data'!$I$2:$I$81,'Raw Data'!$C$2:$C$81,$C71))*100,50)</f>
        <v/>
      </c>
      <c r="I71" s="6">
        <f>100-IFERROR(('Raw Data'!H71-MINIFS('Raw Data'!$H$2:$H$81,'Raw Data'!$C$2:$C$81,$C71))/(MAXIFS('Raw Data'!$H$2:$H$81,'Raw Data'!$C$2:$C$81,$C71)-MINIFS('Raw Data'!$H$2:$H$81,'Raw Data'!$C$2:$C$81,$C71))*100,50)</f>
        <v/>
      </c>
      <c r="J71" s="6">
        <f>IFERROR(('Raw Data'!J71-MINIFS('Raw Data'!$J$2:$J$81,'Raw Data'!$C$2:$C$81,$C71))/(MAXIFS('Raw Data'!$J$2:$J$81,'Raw Data'!$C$2:$C$81,$C71)-MINIFS('Raw Data'!$J$2:$J$81,'Raw Data'!$C$2:$C$81,$C71))*100,50)</f>
        <v/>
      </c>
    </row>
    <row r="72">
      <c r="A72">
        <f>'Raw Data'!A72</f>
        <v/>
      </c>
      <c r="B72">
        <f>'Raw Data'!B72</f>
        <v/>
      </c>
      <c r="C72">
        <f>'Raw Data'!C72</f>
        <v/>
      </c>
      <c r="D72" s="6">
        <f>IFERROR(('Raw Data'!G72-MINIFS('Raw Data'!$G$2:$G$81,'Raw Data'!$C$2:$C$81,$C72))/(MAXIFS('Raw Data'!$G$2:$G$81,'Raw Data'!$C$2:$C$81,$C72)-MINIFS('Raw Data'!$G$2:$G$81,'Raw Data'!$C$2:$C$81,$C72))*100,50)</f>
        <v/>
      </c>
      <c r="E72" s="6">
        <f>IFERROR(('Raw Data'!E72-MINIFS('Raw Data'!$E$2:$E$81,'Raw Data'!$C$2:$C$81,$C72))/(MAXIFS('Raw Data'!$E$2:$E$81,'Raw Data'!$C$2:$C$81,$C72)-MINIFS('Raw Data'!$E$2:$E$81,'Raw Data'!$C$2:$C$81,$C72))*100,50)</f>
        <v/>
      </c>
      <c r="F72" s="6">
        <f>IFERROR(('Raw Data'!F72-MINIFS('Raw Data'!$F$2:$F$81,'Raw Data'!$C$2:$C$81,$C72))/(MAXIFS('Raw Data'!$F$2:$F$81,'Raw Data'!$C$2:$C$81,$C72)-MINIFS('Raw Data'!$F$2:$F$81,'Raw Data'!$C$2:$C$81,$C72))*100,50)</f>
        <v/>
      </c>
      <c r="G72" s="6">
        <f>IFERROR(('Raw Data'!K72-MINIFS('Raw Data'!$K$2:$K$81,'Raw Data'!$C$2:$C$81,$C72))/(MAXIFS('Raw Data'!$K$2:$K$81,'Raw Data'!$C$2:$C$81,$C72)-MINIFS('Raw Data'!$K$2:$K$81,'Raw Data'!$C$2:$C$81,$C72))*100,50)</f>
        <v/>
      </c>
      <c r="H72" s="6">
        <f>IFERROR(('Raw Data'!I72-MINIFS('Raw Data'!$I$2:$I$81,'Raw Data'!$C$2:$C$81,$C72))/(MAXIFS('Raw Data'!$I$2:$I$81,'Raw Data'!$C$2:$C$81,$C72)-MINIFS('Raw Data'!$I$2:$I$81,'Raw Data'!$C$2:$C$81,$C72))*100,50)</f>
        <v/>
      </c>
      <c r="I72" s="6">
        <f>100-IFERROR(('Raw Data'!H72-MINIFS('Raw Data'!$H$2:$H$81,'Raw Data'!$C$2:$C$81,$C72))/(MAXIFS('Raw Data'!$H$2:$H$81,'Raw Data'!$C$2:$C$81,$C72)-MINIFS('Raw Data'!$H$2:$H$81,'Raw Data'!$C$2:$C$81,$C72))*100,50)</f>
        <v/>
      </c>
      <c r="J72" s="6">
        <f>IFERROR(('Raw Data'!J72-MINIFS('Raw Data'!$J$2:$J$81,'Raw Data'!$C$2:$C$81,$C72))/(MAXIFS('Raw Data'!$J$2:$J$81,'Raw Data'!$C$2:$C$81,$C72)-MINIFS('Raw Data'!$J$2:$J$81,'Raw Data'!$C$2:$C$81,$C72))*100,50)</f>
        <v/>
      </c>
    </row>
    <row r="73">
      <c r="A73">
        <f>'Raw Data'!A73</f>
        <v/>
      </c>
      <c r="B73">
        <f>'Raw Data'!B73</f>
        <v/>
      </c>
      <c r="C73">
        <f>'Raw Data'!C73</f>
        <v/>
      </c>
      <c r="D73" s="6">
        <f>IFERROR(('Raw Data'!G73-MINIFS('Raw Data'!$G$2:$G$81,'Raw Data'!$C$2:$C$81,$C73))/(MAXIFS('Raw Data'!$G$2:$G$81,'Raw Data'!$C$2:$C$81,$C73)-MINIFS('Raw Data'!$G$2:$G$81,'Raw Data'!$C$2:$C$81,$C73))*100,50)</f>
        <v/>
      </c>
      <c r="E73" s="6">
        <f>IFERROR(('Raw Data'!E73-MINIFS('Raw Data'!$E$2:$E$81,'Raw Data'!$C$2:$C$81,$C73))/(MAXIFS('Raw Data'!$E$2:$E$81,'Raw Data'!$C$2:$C$81,$C73)-MINIFS('Raw Data'!$E$2:$E$81,'Raw Data'!$C$2:$C$81,$C73))*100,50)</f>
        <v/>
      </c>
      <c r="F73" s="6">
        <f>IFERROR(('Raw Data'!F73-MINIFS('Raw Data'!$F$2:$F$81,'Raw Data'!$C$2:$C$81,$C73))/(MAXIFS('Raw Data'!$F$2:$F$81,'Raw Data'!$C$2:$C$81,$C73)-MINIFS('Raw Data'!$F$2:$F$81,'Raw Data'!$C$2:$C$81,$C73))*100,50)</f>
        <v/>
      </c>
      <c r="G73" s="6">
        <f>IFERROR(('Raw Data'!K73-MINIFS('Raw Data'!$K$2:$K$81,'Raw Data'!$C$2:$C$81,$C73))/(MAXIFS('Raw Data'!$K$2:$K$81,'Raw Data'!$C$2:$C$81,$C73)-MINIFS('Raw Data'!$K$2:$K$81,'Raw Data'!$C$2:$C$81,$C73))*100,50)</f>
        <v/>
      </c>
      <c r="H73" s="6">
        <f>IFERROR(('Raw Data'!I73-MINIFS('Raw Data'!$I$2:$I$81,'Raw Data'!$C$2:$C$81,$C73))/(MAXIFS('Raw Data'!$I$2:$I$81,'Raw Data'!$C$2:$C$81,$C73)-MINIFS('Raw Data'!$I$2:$I$81,'Raw Data'!$C$2:$C$81,$C73))*100,50)</f>
        <v/>
      </c>
      <c r="I73" s="6">
        <f>100-IFERROR(('Raw Data'!H73-MINIFS('Raw Data'!$H$2:$H$81,'Raw Data'!$C$2:$C$81,$C73))/(MAXIFS('Raw Data'!$H$2:$H$81,'Raw Data'!$C$2:$C$81,$C73)-MINIFS('Raw Data'!$H$2:$H$81,'Raw Data'!$C$2:$C$81,$C73))*100,50)</f>
        <v/>
      </c>
      <c r="J73" s="6">
        <f>IFERROR(('Raw Data'!J73-MINIFS('Raw Data'!$J$2:$J$81,'Raw Data'!$C$2:$C$81,$C73))/(MAXIFS('Raw Data'!$J$2:$J$81,'Raw Data'!$C$2:$C$81,$C73)-MINIFS('Raw Data'!$J$2:$J$81,'Raw Data'!$C$2:$C$81,$C73))*100,50)</f>
        <v/>
      </c>
    </row>
    <row r="74">
      <c r="A74">
        <f>'Raw Data'!A74</f>
        <v/>
      </c>
      <c r="B74">
        <f>'Raw Data'!B74</f>
        <v/>
      </c>
      <c r="C74">
        <f>'Raw Data'!C74</f>
        <v/>
      </c>
      <c r="D74" s="6">
        <f>IFERROR(('Raw Data'!G74-MINIFS('Raw Data'!$G$2:$G$81,'Raw Data'!$C$2:$C$81,$C74))/(MAXIFS('Raw Data'!$G$2:$G$81,'Raw Data'!$C$2:$C$81,$C74)-MINIFS('Raw Data'!$G$2:$G$81,'Raw Data'!$C$2:$C$81,$C74))*100,50)</f>
        <v/>
      </c>
      <c r="E74" s="6">
        <f>IFERROR(('Raw Data'!E74-MINIFS('Raw Data'!$E$2:$E$81,'Raw Data'!$C$2:$C$81,$C74))/(MAXIFS('Raw Data'!$E$2:$E$81,'Raw Data'!$C$2:$C$81,$C74)-MINIFS('Raw Data'!$E$2:$E$81,'Raw Data'!$C$2:$C$81,$C74))*100,50)</f>
        <v/>
      </c>
      <c r="F74" s="6">
        <f>IFERROR(('Raw Data'!F74-MINIFS('Raw Data'!$F$2:$F$81,'Raw Data'!$C$2:$C$81,$C74))/(MAXIFS('Raw Data'!$F$2:$F$81,'Raw Data'!$C$2:$C$81,$C74)-MINIFS('Raw Data'!$F$2:$F$81,'Raw Data'!$C$2:$C$81,$C74))*100,50)</f>
        <v/>
      </c>
      <c r="G74" s="6">
        <f>IFERROR(('Raw Data'!K74-MINIFS('Raw Data'!$K$2:$K$81,'Raw Data'!$C$2:$C$81,$C74))/(MAXIFS('Raw Data'!$K$2:$K$81,'Raw Data'!$C$2:$C$81,$C74)-MINIFS('Raw Data'!$K$2:$K$81,'Raw Data'!$C$2:$C$81,$C74))*100,50)</f>
        <v/>
      </c>
      <c r="H74" s="6">
        <f>IFERROR(('Raw Data'!I74-MINIFS('Raw Data'!$I$2:$I$81,'Raw Data'!$C$2:$C$81,$C74))/(MAXIFS('Raw Data'!$I$2:$I$81,'Raw Data'!$C$2:$C$81,$C74)-MINIFS('Raw Data'!$I$2:$I$81,'Raw Data'!$C$2:$C$81,$C74))*100,50)</f>
        <v/>
      </c>
      <c r="I74" s="6">
        <f>100-IFERROR(('Raw Data'!H74-MINIFS('Raw Data'!$H$2:$H$81,'Raw Data'!$C$2:$C$81,$C74))/(MAXIFS('Raw Data'!$H$2:$H$81,'Raw Data'!$C$2:$C$81,$C74)-MINIFS('Raw Data'!$H$2:$H$81,'Raw Data'!$C$2:$C$81,$C74))*100,50)</f>
        <v/>
      </c>
      <c r="J74" s="6">
        <f>IFERROR(('Raw Data'!J74-MINIFS('Raw Data'!$J$2:$J$81,'Raw Data'!$C$2:$C$81,$C74))/(MAXIFS('Raw Data'!$J$2:$J$81,'Raw Data'!$C$2:$C$81,$C74)-MINIFS('Raw Data'!$J$2:$J$81,'Raw Data'!$C$2:$C$81,$C74))*100,50)</f>
        <v/>
      </c>
    </row>
    <row r="75">
      <c r="A75">
        <f>'Raw Data'!A75</f>
        <v/>
      </c>
      <c r="B75">
        <f>'Raw Data'!B75</f>
        <v/>
      </c>
      <c r="C75">
        <f>'Raw Data'!C75</f>
        <v/>
      </c>
      <c r="D75" s="6">
        <f>IFERROR(('Raw Data'!G75-MINIFS('Raw Data'!$G$2:$G$81,'Raw Data'!$C$2:$C$81,$C75))/(MAXIFS('Raw Data'!$G$2:$G$81,'Raw Data'!$C$2:$C$81,$C75)-MINIFS('Raw Data'!$G$2:$G$81,'Raw Data'!$C$2:$C$81,$C75))*100,50)</f>
        <v/>
      </c>
      <c r="E75" s="6">
        <f>IFERROR(('Raw Data'!E75-MINIFS('Raw Data'!$E$2:$E$81,'Raw Data'!$C$2:$C$81,$C75))/(MAXIFS('Raw Data'!$E$2:$E$81,'Raw Data'!$C$2:$C$81,$C75)-MINIFS('Raw Data'!$E$2:$E$81,'Raw Data'!$C$2:$C$81,$C75))*100,50)</f>
        <v/>
      </c>
      <c r="F75" s="6">
        <f>IFERROR(('Raw Data'!F75-MINIFS('Raw Data'!$F$2:$F$81,'Raw Data'!$C$2:$C$81,$C75))/(MAXIFS('Raw Data'!$F$2:$F$81,'Raw Data'!$C$2:$C$81,$C75)-MINIFS('Raw Data'!$F$2:$F$81,'Raw Data'!$C$2:$C$81,$C75))*100,50)</f>
        <v/>
      </c>
      <c r="G75" s="6">
        <f>IFERROR(('Raw Data'!K75-MINIFS('Raw Data'!$K$2:$K$81,'Raw Data'!$C$2:$C$81,$C75))/(MAXIFS('Raw Data'!$K$2:$K$81,'Raw Data'!$C$2:$C$81,$C75)-MINIFS('Raw Data'!$K$2:$K$81,'Raw Data'!$C$2:$C$81,$C75))*100,50)</f>
        <v/>
      </c>
      <c r="H75" s="6">
        <f>IFERROR(('Raw Data'!I75-MINIFS('Raw Data'!$I$2:$I$81,'Raw Data'!$C$2:$C$81,$C75))/(MAXIFS('Raw Data'!$I$2:$I$81,'Raw Data'!$C$2:$C$81,$C75)-MINIFS('Raw Data'!$I$2:$I$81,'Raw Data'!$C$2:$C$81,$C75))*100,50)</f>
        <v/>
      </c>
      <c r="I75" s="6">
        <f>100-IFERROR(('Raw Data'!H75-MINIFS('Raw Data'!$H$2:$H$81,'Raw Data'!$C$2:$C$81,$C75))/(MAXIFS('Raw Data'!$H$2:$H$81,'Raw Data'!$C$2:$C$81,$C75)-MINIFS('Raw Data'!$H$2:$H$81,'Raw Data'!$C$2:$C$81,$C75))*100,50)</f>
        <v/>
      </c>
      <c r="J75" s="6">
        <f>IFERROR(('Raw Data'!J75-MINIFS('Raw Data'!$J$2:$J$81,'Raw Data'!$C$2:$C$81,$C75))/(MAXIFS('Raw Data'!$J$2:$J$81,'Raw Data'!$C$2:$C$81,$C75)-MINIFS('Raw Data'!$J$2:$J$81,'Raw Data'!$C$2:$C$81,$C75))*100,50)</f>
        <v/>
      </c>
    </row>
    <row r="76">
      <c r="A76">
        <f>'Raw Data'!A76</f>
        <v/>
      </c>
      <c r="B76">
        <f>'Raw Data'!B76</f>
        <v/>
      </c>
      <c r="C76">
        <f>'Raw Data'!C76</f>
        <v/>
      </c>
      <c r="D76" s="6">
        <f>IFERROR(('Raw Data'!G76-MINIFS('Raw Data'!$G$2:$G$81,'Raw Data'!$C$2:$C$81,$C76))/(MAXIFS('Raw Data'!$G$2:$G$81,'Raw Data'!$C$2:$C$81,$C76)-MINIFS('Raw Data'!$G$2:$G$81,'Raw Data'!$C$2:$C$81,$C76))*100,50)</f>
        <v/>
      </c>
      <c r="E76" s="6">
        <f>IFERROR(('Raw Data'!E76-MINIFS('Raw Data'!$E$2:$E$81,'Raw Data'!$C$2:$C$81,$C76))/(MAXIFS('Raw Data'!$E$2:$E$81,'Raw Data'!$C$2:$C$81,$C76)-MINIFS('Raw Data'!$E$2:$E$81,'Raw Data'!$C$2:$C$81,$C76))*100,50)</f>
        <v/>
      </c>
      <c r="F76" s="6">
        <f>IFERROR(('Raw Data'!F76-MINIFS('Raw Data'!$F$2:$F$81,'Raw Data'!$C$2:$C$81,$C76))/(MAXIFS('Raw Data'!$F$2:$F$81,'Raw Data'!$C$2:$C$81,$C76)-MINIFS('Raw Data'!$F$2:$F$81,'Raw Data'!$C$2:$C$81,$C76))*100,50)</f>
        <v/>
      </c>
      <c r="G76" s="6">
        <f>IFERROR(('Raw Data'!K76-MINIFS('Raw Data'!$K$2:$K$81,'Raw Data'!$C$2:$C$81,$C76))/(MAXIFS('Raw Data'!$K$2:$K$81,'Raw Data'!$C$2:$C$81,$C76)-MINIFS('Raw Data'!$K$2:$K$81,'Raw Data'!$C$2:$C$81,$C76))*100,50)</f>
        <v/>
      </c>
      <c r="H76" s="6">
        <f>IFERROR(('Raw Data'!I76-MINIFS('Raw Data'!$I$2:$I$81,'Raw Data'!$C$2:$C$81,$C76))/(MAXIFS('Raw Data'!$I$2:$I$81,'Raw Data'!$C$2:$C$81,$C76)-MINIFS('Raw Data'!$I$2:$I$81,'Raw Data'!$C$2:$C$81,$C76))*100,50)</f>
        <v/>
      </c>
      <c r="I76" s="6">
        <f>100-IFERROR(('Raw Data'!H76-MINIFS('Raw Data'!$H$2:$H$81,'Raw Data'!$C$2:$C$81,$C76))/(MAXIFS('Raw Data'!$H$2:$H$81,'Raw Data'!$C$2:$C$81,$C76)-MINIFS('Raw Data'!$H$2:$H$81,'Raw Data'!$C$2:$C$81,$C76))*100,50)</f>
        <v/>
      </c>
      <c r="J76" s="6">
        <f>IFERROR(('Raw Data'!J76-MINIFS('Raw Data'!$J$2:$J$81,'Raw Data'!$C$2:$C$81,$C76))/(MAXIFS('Raw Data'!$J$2:$J$81,'Raw Data'!$C$2:$C$81,$C76)-MINIFS('Raw Data'!$J$2:$J$81,'Raw Data'!$C$2:$C$81,$C76))*100,50)</f>
        <v/>
      </c>
    </row>
    <row r="77">
      <c r="A77">
        <f>'Raw Data'!A77</f>
        <v/>
      </c>
      <c r="B77">
        <f>'Raw Data'!B77</f>
        <v/>
      </c>
      <c r="C77">
        <f>'Raw Data'!C77</f>
        <v/>
      </c>
      <c r="D77" s="6">
        <f>IFERROR(('Raw Data'!G77-MINIFS('Raw Data'!$G$2:$G$81,'Raw Data'!$C$2:$C$81,$C77))/(MAXIFS('Raw Data'!$G$2:$G$81,'Raw Data'!$C$2:$C$81,$C77)-MINIFS('Raw Data'!$G$2:$G$81,'Raw Data'!$C$2:$C$81,$C77))*100,50)</f>
        <v/>
      </c>
      <c r="E77" s="6">
        <f>IFERROR(('Raw Data'!E77-MINIFS('Raw Data'!$E$2:$E$81,'Raw Data'!$C$2:$C$81,$C77))/(MAXIFS('Raw Data'!$E$2:$E$81,'Raw Data'!$C$2:$C$81,$C77)-MINIFS('Raw Data'!$E$2:$E$81,'Raw Data'!$C$2:$C$81,$C77))*100,50)</f>
        <v/>
      </c>
      <c r="F77" s="6">
        <f>IFERROR(('Raw Data'!F77-MINIFS('Raw Data'!$F$2:$F$81,'Raw Data'!$C$2:$C$81,$C77))/(MAXIFS('Raw Data'!$F$2:$F$81,'Raw Data'!$C$2:$C$81,$C77)-MINIFS('Raw Data'!$F$2:$F$81,'Raw Data'!$C$2:$C$81,$C77))*100,50)</f>
        <v/>
      </c>
      <c r="G77" s="6">
        <f>IFERROR(('Raw Data'!K77-MINIFS('Raw Data'!$K$2:$K$81,'Raw Data'!$C$2:$C$81,$C77))/(MAXIFS('Raw Data'!$K$2:$K$81,'Raw Data'!$C$2:$C$81,$C77)-MINIFS('Raw Data'!$K$2:$K$81,'Raw Data'!$C$2:$C$81,$C77))*100,50)</f>
        <v/>
      </c>
      <c r="H77" s="6">
        <f>IFERROR(('Raw Data'!I77-MINIFS('Raw Data'!$I$2:$I$81,'Raw Data'!$C$2:$C$81,$C77))/(MAXIFS('Raw Data'!$I$2:$I$81,'Raw Data'!$C$2:$C$81,$C77)-MINIFS('Raw Data'!$I$2:$I$81,'Raw Data'!$C$2:$C$81,$C77))*100,50)</f>
        <v/>
      </c>
      <c r="I77" s="6">
        <f>100-IFERROR(('Raw Data'!H77-MINIFS('Raw Data'!$H$2:$H$81,'Raw Data'!$C$2:$C$81,$C77))/(MAXIFS('Raw Data'!$H$2:$H$81,'Raw Data'!$C$2:$C$81,$C77)-MINIFS('Raw Data'!$H$2:$H$81,'Raw Data'!$C$2:$C$81,$C77))*100,50)</f>
        <v/>
      </c>
      <c r="J77" s="6">
        <f>IFERROR(('Raw Data'!J77-MINIFS('Raw Data'!$J$2:$J$81,'Raw Data'!$C$2:$C$81,$C77))/(MAXIFS('Raw Data'!$J$2:$J$81,'Raw Data'!$C$2:$C$81,$C77)-MINIFS('Raw Data'!$J$2:$J$81,'Raw Data'!$C$2:$C$81,$C77))*100,50)</f>
        <v/>
      </c>
    </row>
    <row r="78">
      <c r="A78">
        <f>'Raw Data'!A78</f>
        <v/>
      </c>
      <c r="B78">
        <f>'Raw Data'!B78</f>
        <v/>
      </c>
      <c r="C78">
        <f>'Raw Data'!C78</f>
        <v/>
      </c>
      <c r="D78" s="6">
        <f>IFERROR(('Raw Data'!G78-MINIFS('Raw Data'!$G$2:$G$81,'Raw Data'!$C$2:$C$81,$C78))/(MAXIFS('Raw Data'!$G$2:$G$81,'Raw Data'!$C$2:$C$81,$C78)-MINIFS('Raw Data'!$G$2:$G$81,'Raw Data'!$C$2:$C$81,$C78))*100,50)</f>
        <v/>
      </c>
      <c r="E78" s="6">
        <f>IFERROR(('Raw Data'!E78-MINIFS('Raw Data'!$E$2:$E$81,'Raw Data'!$C$2:$C$81,$C78))/(MAXIFS('Raw Data'!$E$2:$E$81,'Raw Data'!$C$2:$C$81,$C78)-MINIFS('Raw Data'!$E$2:$E$81,'Raw Data'!$C$2:$C$81,$C78))*100,50)</f>
        <v/>
      </c>
      <c r="F78" s="6">
        <f>IFERROR(('Raw Data'!F78-MINIFS('Raw Data'!$F$2:$F$81,'Raw Data'!$C$2:$C$81,$C78))/(MAXIFS('Raw Data'!$F$2:$F$81,'Raw Data'!$C$2:$C$81,$C78)-MINIFS('Raw Data'!$F$2:$F$81,'Raw Data'!$C$2:$C$81,$C78))*100,50)</f>
        <v/>
      </c>
      <c r="G78" s="6">
        <f>IFERROR(('Raw Data'!K78-MINIFS('Raw Data'!$K$2:$K$81,'Raw Data'!$C$2:$C$81,$C78))/(MAXIFS('Raw Data'!$K$2:$K$81,'Raw Data'!$C$2:$C$81,$C78)-MINIFS('Raw Data'!$K$2:$K$81,'Raw Data'!$C$2:$C$81,$C78))*100,50)</f>
        <v/>
      </c>
      <c r="H78" s="6">
        <f>IFERROR(('Raw Data'!I78-MINIFS('Raw Data'!$I$2:$I$81,'Raw Data'!$C$2:$C$81,$C78))/(MAXIFS('Raw Data'!$I$2:$I$81,'Raw Data'!$C$2:$C$81,$C78)-MINIFS('Raw Data'!$I$2:$I$81,'Raw Data'!$C$2:$C$81,$C78))*100,50)</f>
        <v/>
      </c>
      <c r="I78" s="6">
        <f>100-IFERROR(('Raw Data'!H78-MINIFS('Raw Data'!$H$2:$H$81,'Raw Data'!$C$2:$C$81,$C78))/(MAXIFS('Raw Data'!$H$2:$H$81,'Raw Data'!$C$2:$C$81,$C78)-MINIFS('Raw Data'!$H$2:$H$81,'Raw Data'!$C$2:$C$81,$C78))*100,50)</f>
        <v/>
      </c>
      <c r="J78" s="6">
        <f>IFERROR(('Raw Data'!J78-MINIFS('Raw Data'!$J$2:$J$81,'Raw Data'!$C$2:$C$81,$C78))/(MAXIFS('Raw Data'!$J$2:$J$81,'Raw Data'!$C$2:$C$81,$C78)-MINIFS('Raw Data'!$J$2:$J$81,'Raw Data'!$C$2:$C$81,$C78))*100,50)</f>
        <v/>
      </c>
    </row>
    <row r="79">
      <c r="A79">
        <f>'Raw Data'!A79</f>
        <v/>
      </c>
      <c r="B79">
        <f>'Raw Data'!B79</f>
        <v/>
      </c>
      <c r="C79">
        <f>'Raw Data'!C79</f>
        <v/>
      </c>
      <c r="D79" s="6">
        <f>IFERROR(('Raw Data'!G79-MINIFS('Raw Data'!$G$2:$G$81,'Raw Data'!$C$2:$C$81,$C79))/(MAXIFS('Raw Data'!$G$2:$G$81,'Raw Data'!$C$2:$C$81,$C79)-MINIFS('Raw Data'!$G$2:$G$81,'Raw Data'!$C$2:$C$81,$C79))*100,50)</f>
        <v/>
      </c>
      <c r="E79" s="6">
        <f>IFERROR(('Raw Data'!E79-MINIFS('Raw Data'!$E$2:$E$81,'Raw Data'!$C$2:$C$81,$C79))/(MAXIFS('Raw Data'!$E$2:$E$81,'Raw Data'!$C$2:$C$81,$C79)-MINIFS('Raw Data'!$E$2:$E$81,'Raw Data'!$C$2:$C$81,$C79))*100,50)</f>
        <v/>
      </c>
      <c r="F79" s="6">
        <f>IFERROR(('Raw Data'!F79-MINIFS('Raw Data'!$F$2:$F$81,'Raw Data'!$C$2:$C$81,$C79))/(MAXIFS('Raw Data'!$F$2:$F$81,'Raw Data'!$C$2:$C$81,$C79)-MINIFS('Raw Data'!$F$2:$F$81,'Raw Data'!$C$2:$C$81,$C79))*100,50)</f>
        <v/>
      </c>
      <c r="G79" s="6">
        <f>IFERROR(('Raw Data'!K79-MINIFS('Raw Data'!$K$2:$K$81,'Raw Data'!$C$2:$C$81,$C79))/(MAXIFS('Raw Data'!$K$2:$K$81,'Raw Data'!$C$2:$C$81,$C79)-MINIFS('Raw Data'!$K$2:$K$81,'Raw Data'!$C$2:$C$81,$C79))*100,50)</f>
        <v/>
      </c>
      <c r="H79" s="6">
        <f>IFERROR(('Raw Data'!I79-MINIFS('Raw Data'!$I$2:$I$81,'Raw Data'!$C$2:$C$81,$C79))/(MAXIFS('Raw Data'!$I$2:$I$81,'Raw Data'!$C$2:$C$81,$C79)-MINIFS('Raw Data'!$I$2:$I$81,'Raw Data'!$C$2:$C$81,$C79))*100,50)</f>
        <v/>
      </c>
      <c r="I79" s="6">
        <f>100-IFERROR(('Raw Data'!H79-MINIFS('Raw Data'!$H$2:$H$81,'Raw Data'!$C$2:$C$81,$C79))/(MAXIFS('Raw Data'!$H$2:$H$81,'Raw Data'!$C$2:$C$81,$C79)-MINIFS('Raw Data'!$H$2:$H$81,'Raw Data'!$C$2:$C$81,$C79))*100,50)</f>
        <v/>
      </c>
      <c r="J79" s="6">
        <f>IFERROR(('Raw Data'!J79-MINIFS('Raw Data'!$J$2:$J$81,'Raw Data'!$C$2:$C$81,$C79))/(MAXIFS('Raw Data'!$J$2:$J$81,'Raw Data'!$C$2:$C$81,$C79)-MINIFS('Raw Data'!$J$2:$J$81,'Raw Data'!$C$2:$C$81,$C79))*100,50)</f>
        <v/>
      </c>
    </row>
    <row r="80">
      <c r="A80">
        <f>'Raw Data'!A80</f>
        <v/>
      </c>
      <c r="B80">
        <f>'Raw Data'!B80</f>
        <v/>
      </c>
      <c r="C80">
        <f>'Raw Data'!C80</f>
        <v/>
      </c>
      <c r="D80" s="6">
        <f>IFERROR(('Raw Data'!G80-MINIFS('Raw Data'!$G$2:$G$81,'Raw Data'!$C$2:$C$81,$C80))/(MAXIFS('Raw Data'!$G$2:$G$81,'Raw Data'!$C$2:$C$81,$C80)-MINIFS('Raw Data'!$G$2:$G$81,'Raw Data'!$C$2:$C$81,$C80))*100,50)</f>
        <v/>
      </c>
      <c r="E80" s="6">
        <f>IFERROR(('Raw Data'!E80-MINIFS('Raw Data'!$E$2:$E$81,'Raw Data'!$C$2:$C$81,$C80))/(MAXIFS('Raw Data'!$E$2:$E$81,'Raw Data'!$C$2:$C$81,$C80)-MINIFS('Raw Data'!$E$2:$E$81,'Raw Data'!$C$2:$C$81,$C80))*100,50)</f>
        <v/>
      </c>
      <c r="F80" s="6">
        <f>IFERROR(('Raw Data'!F80-MINIFS('Raw Data'!$F$2:$F$81,'Raw Data'!$C$2:$C$81,$C80))/(MAXIFS('Raw Data'!$F$2:$F$81,'Raw Data'!$C$2:$C$81,$C80)-MINIFS('Raw Data'!$F$2:$F$81,'Raw Data'!$C$2:$C$81,$C80))*100,50)</f>
        <v/>
      </c>
      <c r="G80" s="6">
        <f>IFERROR(('Raw Data'!K80-MINIFS('Raw Data'!$K$2:$K$81,'Raw Data'!$C$2:$C$81,$C80))/(MAXIFS('Raw Data'!$K$2:$K$81,'Raw Data'!$C$2:$C$81,$C80)-MINIFS('Raw Data'!$K$2:$K$81,'Raw Data'!$C$2:$C$81,$C80))*100,50)</f>
        <v/>
      </c>
      <c r="H80" s="6">
        <f>IFERROR(('Raw Data'!I80-MINIFS('Raw Data'!$I$2:$I$81,'Raw Data'!$C$2:$C$81,$C80))/(MAXIFS('Raw Data'!$I$2:$I$81,'Raw Data'!$C$2:$C$81,$C80)-MINIFS('Raw Data'!$I$2:$I$81,'Raw Data'!$C$2:$C$81,$C80))*100,50)</f>
        <v/>
      </c>
      <c r="I80" s="6">
        <f>100-IFERROR(('Raw Data'!H80-MINIFS('Raw Data'!$H$2:$H$81,'Raw Data'!$C$2:$C$81,$C80))/(MAXIFS('Raw Data'!$H$2:$H$81,'Raw Data'!$C$2:$C$81,$C80)-MINIFS('Raw Data'!$H$2:$H$81,'Raw Data'!$C$2:$C$81,$C80))*100,50)</f>
        <v/>
      </c>
      <c r="J80" s="6">
        <f>IFERROR(('Raw Data'!J80-MINIFS('Raw Data'!$J$2:$J$81,'Raw Data'!$C$2:$C$81,$C80))/(MAXIFS('Raw Data'!$J$2:$J$81,'Raw Data'!$C$2:$C$81,$C80)-MINIFS('Raw Data'!$J$2:$J$81,'Raw Data'!$C$2:$C$81,$C80))*100,50)</f>
        <v/>
      </c>
    </row>
    <row r="81">
      <c r="A81">
        <f>'Raw Data'!A81</f>
        <v/>
      </c>
      <c r="B81">
        <f>'Raw Data'!B81</f>
        <v/>
      </c>
      <c r="C81">
        <f>'Raw Data'!C81</f>
        <v/>
      </c>
      <c r="D81" s="6">
        <f>IFERROR(('Raw Data'!G81-MINIFS('Raw Data'!$G$2:$G$81,'Raw Data'!$C$2:$C$81,$C81))/(MAXIFS('Raw Data'!$G$2:$G$81,'Raw Data'!$C$2:$C$81,$C81)-MINIFS('Raw Data'!$G$2:$G$81,'Raw Data'!$C$2:$C$81,$C81))*100,50)</f>
        <v/>
      </c>
      <c r="E81" s="6">
        <f>IFERROR(('Raw Data'!E81-MINIFS('Raw Data'!$E$2:$E$81,'Raw Data'!$C$2:$C$81,$C81))/(MAXIFS('Raw Data'!$E$2:$E$81,'Raw Data'!$C$2:$C$81,$C81)-MINIFS('Raw Data'!$E$2:$E$81,'Raw Data'!$C$2:$C$81,$C81))*100,50)</f>
        <v/>
      </c>
      <c r="F81" s="6">
        <f>IFERROR(('Raw Data'!F81-MINIFS('Raw Data'!$F$2:$F$81,'Raw Data'!$C$2:$C$81,$C81))/(MAXIFS('Raw Data'!$F$2:$F$81,'Raw Data'!$C$2:$C$81,$C81)-MINIFS('Raw Data'!$F$2:$F$81,'Raw Data'!$C$2:$C$81,$C81))*100,50)</f>
        <v/>
      </c>
      <c r="G81" s="6">
        <f>IFERROR(('Raw Data'!K81-MINIFS('Raw Data'!$K$2:$K$81,'Raw Data'!$C$2:$C$81,$C81))/(MAXIFS('Raw Data'!$K$2:$K$81,'Raw Data'!$C$2:$C$81,$C81)-MINIFS('Raw Data'!$K$2:$K$81,'Raw Data'!$C$2:$C$81,$C81))*100,50)</f>
        <v/>
      </c>
      <c r="H81" s="6">
        <f>IFERROR(('Raw Data'!I81-MINIFS('Raw Data'!$I$2:$I$81,'Raw Data'!$C$2:$C$81,$C81))/(MAXIFS('Raw Data'!$I$2:$I$81,'Raw Data'!$C$2:$C$81,$C81)-MINIFS('Raw Data'!$I$2:$I$81,'Raw Data'!$C$2:$C$81,$C81))*100,50)</f>
        <v/>
      </c>
      <c r="I81" s="6">
        <f>100-IFERROR(('Raw Data'!H81-MINIFS('Raw Data'!$H$2:$H$81,'Raw Data'!$C$2:$C$81,$C81))/(MAXIFS('Raw Data'!$H$2:$H$81,'Raw Data'!$C$2:$C$81,$C81)-MINIFS('Raw Data'!$H$2:$H$81,'Raw Data'!$C$2:$C$81,$C81))*100,50)</f>
        <v/>
      </c>
      <c r="J81" s="6">
        <f>IFERROR(('Raw Data'!J81-MINIFS('Raw Data'!$J$2:$J$81,'Raw Data'!$C$2:$C$81,$C81))/(MAXIFS('Raw Data'!$J$2:$J$81,'Raw Data'!$C$2:$C$81,$C81)-MINIFS('Raw Data'!$J$2:$J$81,'Raw Data'!$C$2:$C$81,$C81))*100,50)</f>
        <v/>
      </c>
    </row>
    <row r="83">
      <c r="A83" s="7" t="inlineStr">
        <is>
          <t>Illustrative dataset constructed to be directionally consistent with publicly reported industry estimates. Figures are for methodology demonstration and are not market research.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8"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segment_id</t>
        </is>
      </c>
      <c r="B1" s="1" t="inlineStr">
        <is>
          <t>segment_name</t>
        </is>
      </c>
      <c r="C1" s="1" t="inlineStr">
        <is>
          <t>year</t>
        </is>
      </c>
      <c r="D1" s="1" t="inlineStr">
        <is>
          <t>contrib_serviceable_market_size</t>
        </is>
      </c>
      <c r="E1" s="1" t="inlineStr">
        <is>
          <t>contrib_cagr</t>
        </is>
      </c>
      <c r="F1" s="1" t="inlineStr">
        <is>
          <t>contrib_design_services_addressability</t>
        </is>
      </c>
      <c r="G1" s="1" t="inlineStr">
        <is>
          <t>contrib_strategic_fit</t>
        </is>
      </c>
      <c r="H1" s="1" t="inlineStr">
        <is>
          <t>contrib_customer_demand</t>
        </is>
      </c>
      <c r="I1" s="1" t="inlineStr">
        <is>
          <t>contrib_competitive_intensity</t>
        </is>
      </c>
      <c r="J1" s="1" t="inlineStr">
        <is>
          <t>contrib_entry_feasibility</t>
        </is>
      </c>
      <c r="K1" s="1" t="inlineStr">
        <is>
          <t>opportunity_score</t>
        </is>
      </c>
      <c r="L1" s="1" t="inlineStr">
        <is>
          <t>rank_in_year</t>
        </is>
      </c>
    </row>
    <row r="2">
      <c r="A2">
        <f>Normalization!A2</f>
        <v/>
      </c>
      <c r="B2">
        <f>Normalization!B2</f>
        <v/>
      </c>
      <c r="C2">
        <f>Normalization!C2</f>
        <v/>
      </c>
      <c r="D2" s="6">
        <f>Normalization!D2*Assumptions!$C$7</f>
        <v/>
      </c>
      <c r="E2" s="6">
        <f>Normalization!E2*Assumptions!$C$8</f>
        <v/>
      </c>
      <c r="F2" s="6">
        <f>Normalization!F2*Assumptions!$C$9</f>
        <v/>
      </c>
      <c r="G2" s="6">
        <f>Normalization!G2*Assumptions!$C$10</f>
        <v/>
      </c>
      <c r="H2" s="6">
        <f>Normalization!H2*Assumptions!$C$11</f>
        <v/>
      </c>
      <c r="I2" s="6">
        <f>Normalization!I2*Assumptions!$C$12</f>
        <v/>
      </c>
      <c r="J2" s="6">
        <f>Normalization!J2*Assumptions!$C$13</f>
        <v/>
      </c>
      <c r="K2" s="6">
        <f>SUM(D2:J2)</f>
        <v/>
      </c>
      <c r="L2">
        <f>SUMPRODUCT(($C$2:$C$81=$C2)*($K$2:$K$81&gt;$K2))+1</f>
        <v/>
      </c>
    </row>
    <row r="3">
      <c r="A3">
        <f>Normalization!A3</f>
        <v/>
      </c>
      <c r="B3">
        <f>Normalization!B3</f>
        <v/>
      </c>
      <c r="C3">
        <f>Normalization!C3</f>
        <v/>
      </c>
      <c r="D3" s="6">
        <f>Normalization!D3*Assumptions!$C$7</f>
        <v/>
      </c>
      <c r="E3" s="6">
        <f>Normalization!E3*Assumptions!$C$8</f>
        <v/>
      </c>
      <c r="F3" s="6">
        <f>Normalization!F3*Assumptions!$C$9</f>
        <v/>
      </c>
      <c r="G3" s="6">
        <f>Normalization!G3*Assumptions!$C$10</f>
        <v/>
      </c>
      <c r="H3" s="6">
        <f>Normalization!H3*Assumptions!$C$11</f>
        <v/>
      </c>
      <c r="I3" s="6">
        <f>Normalization!I3*Assumptions!$C$12</f>
        <v/>
      </c>
      <c r="J3" s="6">
        <f>Normalization!J3*Assumptions!$C$13</f>
        <v/>
      </c>
      <c r="K3" s="6">
        <f>SUM(D3:J3)</f>
        <v/>
      </c>
      <c r="L3">
        <f>SUMPRODUCT(($C$2:$C$81=$C3)*($K$2:$K$81&gt;$K3))+1</f>
        <v/>
      </c>
    </row>
    <row r="4">
      <c r="A4">
        <f>Normalization!A4</f>
        <v/>
      </c>
      <c r="B4">
        <f>Normalization!B4</f>
        <v/>
      </c>
      <c r="C4">
        <f>Normalization!C4</f>
        <v/>
      </c>
      <c r="D4" s="6">
        <f>Normalization!D4*Assumptions!$C$7</f>
        <v/>
      </c>
      <c r="E4" s="6">
        <f>Normalization!E4*Assumptions!$C$8</f>
        <v/>
      </c>
      <c r="F4" s="6">
        <f>Normalization!F4*Assumptions!$C$9</f>
        <v/>
      </c>
      <c r="G4" s="6">
        <f>Normalization!G4*Assumptions!$C$10</f>
        <v/>
      </c>
      <c r="H4" s="6">
        <f>Normalization!H4*Assumptions!$C$11</f>
        <v/>
      </c>
      <c r="I4" s="6">
        <f>Normalization!I4*Assumptions!$C$12</f>
        <v/>
      </c>
      <c r="J4" s="6">
        <f>Normalization!J4*Assumptions!$C$13</f>
        <v/>
      </c>
      <c r="K4" s="6">
        <f>SUM(D4:J4)</f>
        <v/>
      </c>
      <c r="L4">
        <f>SUMPRODUCT(($C$2:$C$81=$C4)*($K$2:$K$81&gt;$K4))+1</f>
        <v/>
      </c>
    </row>
    <row r="5">
      <c r="A5">
        <f>Normalization!A5</f>
        <v/>
      </c>
      <c r="B5">
        <f>Normalization!B5</f>
        <v/>
      </c>
      <c r="C5">
        <f>Normalization!C5</f>
        <v/>
      </c>
      <c r="D5" s="6">
        <f>Normalization!D5*Assumptions!$C$7</f>
        <v/>
      </c>
      <c r="E5" s="6">
        <f>Normalization!E5*Assumptions!$C$8</f>
        <v/>
      </c>
      <c r="F5" s="6">
        <f>Normalization!F5*Assumptions!$C$9</f>
        <v/>
      </c>
      <c r="G5" s="6">
        <f>Normalization!G5*Assumptions!$C$10</f>
        <v/>
      </c>
      <c r="H5" s="6">
        <f>Normalization!H5*Assumptions!$C$11</f>
        <v/>
      </c>
      <c r="I5" s="6">
        <f>Normalization!I5*Assumptions!$C$12</f>
        <v/>
      </c>
      <c r="J5" s="6">
        <f>Normalization!J5*Assumptions!$C$13</f>
        <v/>
      </c>
      <c r="K5" s="6">
        <f>SUM(D5:J5)</f>
        <v/>
      </c>
      <c r="L5">
        <f>SUMPRODUCT(($C$2:$C$81=$C5)*($K$2:$K$81&gt;$K5))+1</f>
        <v/>
      </c>
    </row>
    <row r="6">
      <c r="A6">
        <f>Normalization!A6</f>
        <v/>
      </c>
      <c r="B6">
        <f>Normalization!B6</f>
        <v/>
      </c>
      <c r="C6">
        <f>Normalization!C6</f>
        <v/>
      </c>
      <c r="D6" s="6">
        <f>Normalization!D6*Assumptions!$C$7</f>
        <v/>
      </c>
      <c r="E6" s="6">
        <f>Normalization!E6*Assumptions!$C$8</f>
        <v/>
      </c>
      <c r="F6" s="6">
        <f>Normalization!F6*Assumptions!$C$9</f>
        <v/>
      </c>
      <c r="G6" s="6">
        <f>Normalization!G6*Assumptions!$C$10</f>
        <v/>
      </c>
      <c r="H6" s="6">
        <f>Normalization!H6*Assumptions!$C$11</f>
        <v/>
      </c>
      <c r="I6" s="6">
        <f>Normalization!I6*Assumptions!$C$12</f>
        <v/>
      </c>
      <c r="J6" s="6">
        <f>Normalization!J6*Assumptions!$C$13</f>
        <v/>
      </c>
      <c r="K6" s="6">
        <f>SUM(D6:J6)</f>
        <v/>
      </c>
      <c r="L6">
        <f>SUMPRODUCT(($C$2:$C$81=$C6)*($K$2:$K$81&gt;$K6))+1</f>
        <v/>
      </c>
    </row>
    <row r="7">
      <c r="A7">
        <f>Normalization!A7</f>
        <v/>
      </c>
      <c r="B7">
        <f>Normalization!B7</f>
        <v/>
      </c>
      <c r="C7">
        <f>Normalization!C7</f>
        <v/>
      </c>
      <c r="D7" s="6">
        <f>Normalization!D7*Assumptions!$C$7</f>
        <v/>
      </c>
      <c r="E7" s="6">
        <f>Normalization!E7*Assumptions!$C$8</f>
        <v/>
      </c>
      <c r="F7" s="6">
        <f>Normalization!F7*Assumptions!$C$9</f>
        <v/>
      </c>
      <c r="G7" s="6">
        <f>Normalization!G7*Assumptions!$C$10</f>
        <v/>
      </c>
      <c r="H7" s="6">
        <f>Normalization!H7*Assumptions!$C$11</f>
        <v/>
      </c>
      <c r="I7" s="6">
        <f>Normalization!I7*Assumptions!$C$12</f>
        <v/>
      </c>
      <c r="J7" s="6">
        <f>Normalization!J7*Assumptions!$C$13</f>
        <v/>
      </c>
      <c r="K7" s="6">
        <f>SUM(D7:J7)</f>
        <v/>
      </c>
      <c r="L7">
        <f>SUMPRODUCT(($C$2:$C$81=$C7)*($K$2:$K$81&gt;$K7))+1</f>
        <v/>
      </c>
    </row>
    <row r="8">
      <c r="A8">
        <f>Normalization!A8</f>
        <v/>
      </c>
      <c r="B8">
        <f>Normalization!B8</f>
        <v/>
      </c>
      <c r="C8">
        <f>Normalization!C8</f>
        <v/>
      </c>
      <c r="D8" s="6">
        <f>Normalization!D8*Assumptions!$C$7</f>
        <v/>
      </c>
      <c r="E8" s="6">
        <f>Normalization!E8*Assumptions!$C$8</f>
        <v/>
      </c>
      <c r="F8" s="6">
        <f>Normalization!F8*Assumptions!$C$9</f>
        <v/>
      </c>
      <c r="G8" s="6">
        <f>Normalization!G8*Assumptions!$C$10</f>
        <v/>
      </c>
      <c r="H8" s="6">
        <f>Normalization!H8*Assumptions!$C$11</f>
        <v/>
      </c>
      <c r="I8" s="6">
        <f>Normalization!I8*Assumptions!$C$12</f>
        <v/>
      </c>
      <c r="J8" s="6">
        <f>Normalization!J8*Assumptions!$C$13</f>
        <v/>
      </c>
      <c r="K8" s="6">
        <f>SUM(D8:J8)</f>
        <v/>
      </c>
      <c r="L8">
        <f>SUMPRODUCT(($C$2:$C$81=$C8)*($K$2:$K$81&gt;$K8))+1</f>
        <v/>
      </c>
    </row>
    <row r="9">
      <c r="A9">
        <f>Normalization!A9</f>
        <v/>
      </c>
      <c r="B9">
        <f>Normalization!B9</f>
        <v/>
      </c>
      <c r="C9">
        <f>Normalization!C9</f>
        <v/>
      </c>
      <c r="D9" s="6">
        <f>Normalization!D9*Assumptions!$C$7</f>
        <v/>
      </c>
      <c r="E9" s="6">
        <f>Normalization!E9*Assumptions!$C$8</f>
        <v/>
      </c>
      <c r="F9" s="6">
        <f>Normalization!F9*Assumptions!$C$9</f>
        <v/>
      </c>
      <c r="G9" s="6">
        <f>Normalization!G9*Assumptions!$C$10</f>
        <v/>
      </c>
      <c r="H9" s="6">
        <f>Normalization!H9*Assumptions!$C$11</f>
        <v/>
      </c>
      <c r="I9" s="6">
        <f>Normalization!I9*Assumptions!$C$12</f>
        <v/>
      </c>
      <c r="J9" s="6">
        <f>Normalization!J9*Assumptions!$C$13</f>
        <v/>
      </c>
      <c r="K9" s="6">
        <f>SUM(D9:J9)</f>
        <v/>
      </c>
      <c r="L9">
        <f>SUMPRODUCT(($C$2:$C$81=$C9)*($K$2:$K$81&gt;$K9))+1</f>
        <v/>
      </c>
    </row>
    <row r="10">
      <c r="A10">
        <f>Normalization!A10</f>
        <v/>
      </c>
      <c r="B10">
        <f>Normalization!B10</f>
        <v/>
      </c>
      <c r="C10">
        <f>Normalization!C10</f>
        <v/>
      </c>
      <c r="D10" s="6">
        <f>Normalization!D10*Assumptions!$C$7</f>
        <v/>
      </c>
      <c r="E10" s="6">
        <f>Normalization!E10*Assumptions!$C$8</f>
        <v/>
      </c>
      <c r="F10" s="6">
        <f>Normalization!F10*Assumptions!$C$9</f>
        <v/>
      </c>
      <c r="G10" s="6">
        <f>Normalization!G10*Assumptions!$C$10</f>
        <v/>
      </c>
      <c r="H10" s="6">
        <f>Normalization!H10*Assumptions!$C$11</f>
        <v/>
      </c>
      <c r="I10" s="6">
        <f>Normalization!I10*Assumptions!$C$12</f>
        <v/>
      </c>
      <c r="J10" s="6">
        <f>Normalization!J10*Assumptions!$C$13</f>
        <v/>
      </c>
      <c r="K10" s="6">
        <f>SUM(D10:J10)</f>
        <v/>
      </c>
      <c r="L10">
        <f>SUMPRODUCT(($C$2:$C$81=$C10)*($K$2:$K$81&gt;$K10))+1</f>
        <v/>
      </c>
    </row>
    <row r="11">
      <c r="A11">
        <f>Normalization!A11</f>
        <v/>
      </c>
      <c r="B11">
        <f>Normalization!B11</f>
        <v/>
      </c>
      <c r="C11">
        <f>Normalization!C11</f>
        <v/>
      </c>
      <c r="D11" s="6">
        <f>Normalization!D11*Assumptions!$C$7</f>
        <v/>
      </c>
      <c r="E11" s="6">
        <f>Normalization!E11*Assumptions!$C$8</f>
        <v/>
      </c>
      <c r="F11" s="6">
        <f>Normalization!F11*Assumptions!$C$9</f>
        <v/>
      </c>
      <c r="G11" s="6">
        <f>Normalization!G11*Assumptions!$C$10</f>
        <v/>
      </c>
      <c r="H11" s="6">
        <f>Normalization!H11*Assumptions!$C$11</f>
        <v/>
      </c>
      <c r="I11" s="6">
        <f>Normalization!I11*Assumptions!$C$12</f>
        <v/>
      </c>
      <c r="J11" s="6">
        <f>Normalization!J11*Assumptions!$C$13</f>
        <v/>
      </c>
      <c r="K11" s="6">
        <f>SUM(D11:J11)</f>
        <v/>
      </c>
      <c r="L11">
        <f>SUMPRODUCT(($C$2:$C$81=$C11)*($K$2:$K$81&gt;$K11))+1</f>
        <v/>
      </c>
    </row>
    <row r="12">
      <c r="A12">
        <f>Normalization!A12</f>
        <v/>
      </c>
      <c r="B12">
        <f>Normalization!B12</f>
        <v/>
      </c>
      <c r="C12">
        <f>Normalization!C12</f>
        <v/>
      </c>
      <c r="D12" s="6">
        <f>Normalization!D12*Assumptions!$C$7</f>
        <v/>
      </c>
      <c r="E12" s="6">
        <f>Normalization!E12*Assumptions!$C$8</f>
        <v/>
      </c>
      <c r="F12" s="6">
        <f>Normalization!F12*Assumptions!$C$9</f>
        <v/>
      </c>
      <c r="G12" s="6">
        <f>Normalization!G12*Assumptions!$C$10</f>
        <v/>
      </c>
      <c r="H12" s="6">
        <f>Normalization!H12*Assumptions!$C$11</f>
        <v/>
      </c>
      <c r="I12" s="6">
        <f>Normalization!I12*Assumptions!$C$12</f>
        <v/>
      </c>
      <c r="J12" s="6">
        <f>Normalization!J12*Assumptions!$C$13</f>
        <v/>
      </c>
      <c r="K12" s="6">
        <f>SUM(D12:J12)</f>
        <v/>
      </c>
      <c r="L12">
        <f>SUMPRODUCT(($C$2:$C$81=$C12)*($K$2:$K$81&gt;$K12))+1</f>
        <v/>
      </c>
    </row>
    <row r="13">
      <c r="A13">
        <f>Normalization!A13</f>
        <v/>
      </c>
      <c r="B13">
        <f>Normalization!B13</f>
        <v/>
      </c>
      <c r="C13">
        <f>Normalization!C13</f>
        <v/>
      </c>
      <c r="D13" s="6">
        <f>Normalization!D13*Assumptions!$C$7</f>
        <v/>
      </c>
      <c r="E13" s="6">
        <f>Normalization!E13*Assumptions!$C$8</f>
        <v/>
      </c>
      <c r="F13" s="6">
        <f>Normalization!F13*Assumptions!$C$9</f>
        <v/>
      </c>
      <c r="G13" s="6">
        <f>Normalization!G13*Assumptions!$C$10</f>
        <v/>
      </c>
      <c r="H13" s="6">
        <f>Normalization!H13*Assumptions!$C$11</f>
        <v/>
      </c>
      <c r="I13" s="6">
        <f>Normalization!I13*Assumptions!$C$12</f>
        <v/>
      </c>
      <c r="J13" s="6">
        <f>Normalization!J13*Assumptions!$C$13</f>
        <v/>
      </c>
      <c r="K13" s="6">
        <f>SUM(D13:J13)</f>
        <v/>
      </c>
      <c r="L13">
        <f>SUMPRODUCT(($C$2:$C$81=$C13)*($K$2:$K$81&gt;$K13))+1</f>
        <v/>
      </c>
    </row>
    <row r="14">
      <c r="A14">
        <f>Normalization!A14</f>
        <v/>
      </c>
      <c r="B14">
        <f>Normalization!B14</f>
        <v/>
      </c>
      <c r="C14">
        <f>Normalization!C14</f>
        <v/>
      </c>
      <c r="D14" s="6">
        <f>Normalization!D14*Assumptions!$C$7</f>
        <v/>
      </c>
      <c r="E14" s="6">
        <f>Normalization!E14*Assumptions!$C$8</f>
        <v/>
      </c>
      <c r="F14" s="6">
        <f>Normalization!F14*Assumptions!$C$9</f>
        <v/>
      </c>
      <c r="G14" s="6">
        <f>Normalization!G14*Assumptions!$C$10</f>
        <v/>
      </c>
      <c r="H14" s="6">
        <f>Normalization!H14*Assumptions!$C$11</f>
        <v/>
      </c>
      <c r="I14" s="6">
        <f>Normalization!I14*Assumptions!$C$12</f>
        <v/>
      </c>
      <c r="J14" s="6">
        <f>Normalization!J14*Assumptions!$C$13</f>
        <v/>
      </c>
      <c r="K14" s="6">
        <f>SUM(D14:J14)</f>
        <v/>
      </c>
      <c r="L14">
        <f>SUMPRODUCT(($C$2:$C$81=$C14)*($K$2:$K$81&gt;$K14))+1</f>
        <v/>
      </c>
    </row>
    <row r="15">
      <c r="A15">
        <f>Normalization!A15</f>
        <v/>
      </c>
      <c r="B15">
        <f>Normalization!B15</f>
        <v/>
      </c>
      <c r="C15">
        <f>Normalization!C15</f>
        <v/>
      </c>
      <c r="D15" s="6">
        <f>Normalization!D15*Assumptions!$C$7</f>
        <v/>
      </c>
      <c r="E15" s="6">
        <f>Normalization!E15*Assumptions!$C$8</f>
        <v/>
      </c>
      <c r="F15" s="6">
        <f>Normalization!F15*Assumptions!$C$9</f>
        <v/>
      </c>
      <c r="G15" s="6">
        <f>Normalization!G15*Assumptions!$C$10</f>
        <v/>
      </c>
      <c r="H15" s="6">
        <f>Normalization!H15*Assumptions!$C$11</f>
        <v/>
      </c>
      <c r="I15" s="6">
        <f>Normalization!I15*Assumptions!$C$12</f>
        <v/>
      </c>
      <c r="J15" s="6">
        <f>Normalization!J15*Assumptions!$C$13</f>
        <v/>
      </c>
      <c r="K15" s="6">
        <f>SUM(D15:J15)</f>
        <v/>
      </c>
      <c r="L15">
        <f>SUMPRODUCT(($C$2:$C$81=$C15)*($K$2:$K$81&gt;$K15))+1</f>
        <v/>
      </c>
    </row>
    <row r="16">
      <c r="A16">
        <f>Normalization!A16</f>
        <v/>
      </c>
      <c r="B16">
        <f>Normalization!B16</f>
        <v/>
      </c>
      <c r="C16">
        <f>Normalization!C16</f>
        <v/>
      </c>
      <c r="D16" s="6">
        <f>Normalization!D16*Assumptions!$C$7</f>
        <v/>
      </c>
      <c r="E16" s="6">
        <f>Normalization!E16*Assumptions!$C$8</f>
        <v/>
      </c>
      <c r="F16" s="6">
        <f>Normalization!F16*Assumptions!$C$9</f>
        <v/>
      </c>
      <c r="G16" s="6">
        <f>Normalization!G16*Assumptions!$C$10</f>
        <v/>
      </c>
      <c r="H16" s="6">
        <f>Normalization!H16*Assumptions!$C$11</f>
        <v/>
      </c>
      <c r="I16" s="6">
        <f>Normalization!I16*Assumptions!$C$12</f>
        <v/>
      </c>
      <c r="J16" s="6">
        <f>Normalization!J16*Assumptions!$C$13</f>
        <v/>
      </c>
      <c r="K16" s="6">
        <f>SUM(D16:J16)</f>
        <v/>
      </c>
      <c r="L16">
        <f>SUMPRODUCT(($C$2:$C$81=$C16)*($K$2:$K$81&gt;$K16))+1</f>
        <v/>
      </c>
    </row>
    <row r="17">
      <c r="A17">
        <f>Normalization!A17</f>
        <v/>
      </c>
      <c r="B17">
        <f>Normalization!B17</f>
        <v/>
      </c>
      <c r="C17">
        <f>Normalization!C17</f>
        <v/>
      </c>
      <c r="D17" s="6">
        <f>Normalization!D17*Assumptions!$C$7</f>
        <v/>
      </c>
      <c r="E17" s="6">
        <f>Normalization!E17*Assumptions!$C$8</f>
        <v/>
      </c>
      <c r="F17" s="6">
        <f>Normalization!F17*Assumptions!$C$9</f>
        <v/>
      </c>
      <c r="G17" s="6">
        <f>Normalization!G17*Assumptions!$C$10</f>
        <v/>
      </c>
      <c r="H17" s="6">
        <f>Normalization!H17*Assumptions!$C$11</f>
        <v/>
      </c>
      <c r="I17" s="6">
        <f>Normalization!I17*Assumptions!$C$12</f>
        <v/>
      </c>
      <c r="J17" s="6">
        <f>Normalization!J17*Assumptions!$C$13</f>
        <v/>
      </c>
      <c r="K17" s="6">
        <f>SUM(D17:J17)</f>
        <v/>
      </c>
      <c r="L17">
        <f>SUMPRODUCT(($C$2:$C$81=$C17)*($K$2:$K$81&gt;$K17))+1</f>
        <v/>
      </c>
    </row>
    <row r="18">
      <c r="A18">
        <f>Normalization!A18</f>
        <v/>
      </c>
      <c r="B18">
        <f>Normalization!B18</f>
        <v/>
      </c>
      <c r="C18">
        <f>Normalization!C18</f>
        <v/>
      </c>
      <c r="D18" s="6">
        <f>Normalization!D18*Assumptions!$C$7</f>
        <v/>
      </c>
      <c r="E18" s="6">
        <f>Normalization!E18*Assumptions!$C$8</f>
        <v/>
      </c>
      <c r="F18" s="6">
        <f>Normalization!F18*Assumptions!$C$9</f>
        <v/>
      </c>
      <c r="G18" s="6">
        <f>Normalization!G18*Assumptions!$C$10</f>
        <v/>
      </c>
      <c r="H18" s="6">
        <f>Normalization!H18*Assumptions!$C$11</f>
        <v/>
      </c>
      <c r="I18" s="6">
        <f>Normalization!I18*Assumptions!$C$12</f>
        <v/>
      </c>
      <c r="J18" s="6">
        <f>Normalization!J18*Assumptions!$C$13</f>
        <v/>
      </c>
      <c r="K18" s="6">
        <f>SUM(D18:J18)</f>
        <v/>
      </c>
      <c r="L18">
        <f>SUMPRODUCT(($C$2:$C$81=$C18)*($K$2:$K$81&gt;$K18))+1</f>
        <v/>
      </c>
    </row>
    <row r="19">
      <c r="A19">
        <f>Normalization!A19</f>
        <v/>
      </c>
      <c r="B19">
        <f>Normalization!B19</f>
        <v/>
      </c>
      <c r="C19">
        <f>Normalization!C19</f>
        <v/>
      </c>
      <c r="D19" s="6">
        <f>Normalization!D19*Assumptions!$C$7</f>
        <v/>
      </c>
      <c r="E19" s="6">
        <f>Normalization!E19*Assumptions!$C$8</f>
        <v/>
      </c>
      <c r="F19" s="6">
        <f>Normalization!F19*Assumptions!$C$9</f>
        <v/>
      </c>
      <c r="G19" s="6">
        <f>Normalization!G19*Assumptions!$C$10</f>
        <v/>
      </c>
      <c r="H19" s="6">
        <f>Normalization!H19*Assumptions!$C$11</f>
        <v/>
      </c>
      <c r="I19" s="6">
        <f>Normalization!I19*Assumptions!$C$12</f>
        <v/>
      </c>
      <c r="J19" s="6">
        <f>Normalization!J19*Assumptions!$C$13</f>
        <v/>
      </c>
      <c r="K19" s="6">
        <f>SUM(D19:J19)</f>
        <v/>
      </c>
      <c r="L19">
        <f>SUMPRODUCT(($C$2:$C$81=$C19)*($K$2:$K$81&gt;$K19))+1</f>
        <v/>
      </c>
    </row>
    <row r="20">
      <c r="A20">
        <f>Normalization!A20</f>
        <v/>
      </c>
      <c r="B20">
        <f>Normalization!B20</f>
        <v/>
      </c>
      <c r="C20">
        <f>Normalization!C20</f>
        <v/>
      </c>
      <c r="D20" s="6">
        <f>Normalization!D20*Assumptions!$C$7</f>
        <v/>
      </c>
      <c r="E20" s="6">
        <f>Normalization!E20*Assumptions!$C$8</f>
        <v/>
      </c>
      <c r="F20" s="6">
        <f>Normalization!F20*Assumptions!$C$9</f>
        <v/>
      </c>
      <c r="G20" s="6">
        <f>Normalization!G20*Assumptions!$C$10</f>
        <v/>
      </c>
      <c r="H20" s="6">
        <f>Normalization!H20*Assumptions!$C$11</f>
        <v/>
      </c>
      <c r="I20" s="6">
        <f>Normalization!I20*Assumptions!$C$12</f>
        <v/>
      </c>
      <c r="J20" s="6">
        <f>Normalization!J20*Assumptions!$C$13</f>
        <v/>
      </c>
      <c r="K20" s="6">
        <f>SUM(D20:J20)</f>
        <v/>
      </c>
      <c r="L20">
        <f>SUMPRODUCT(($C$2:$C$81=$C20)*($K$2:$K$81&gt;$K20))+1</f>
        <v/>
      </c>
    </row>
    <row r="21">
      <c r="A21">
        <f>Normalization!A21</f>
        <v/>
      </c>
      <c r="B21">
        <f>Normalization!B21</f>
        <v/>
      </c>
      <c r="C21">
        <f>Normalization!C21</f>
        <v/>
      </c>
      <c r="D21" s="6">
        <f>Normalization!D21*Assumptions!$C$7</f>
        <v/>
      </c>
      <c r="E21" s="6">
        <f>Normalization!E21*Assumptions!$C$8</f>
        <v/>
      </c>
      <c r="F21" s="6">
        <f>Normalization!F21*Assumptions!$C$9</f>
        <v/>
      </c>
      <c r="G21" s="6">
        <f>Normalization!G21*Assumptions!$C$10</f>
        <v/>
      </c>
      <c r="H21" s="6">
        <f>Normalization!H21*Assumptions!$C$11</f>
        <v/>
      </c>
      <c r="I21" s="6">
        <f>Normalization!I21*Assumptions!$C$12</f>
        <v/>
      </c>
      <c r="J21" s="6">
        <f>Normalization!J21*Assumptions!$C$13</f>
        <v/>
      </c>
      <c r="K21" s="6">
        <f>SUM(D21:J21)</f>
        <v/>
      </c>
      <c r="L21">
        <f>SUMPRODUCT(($C$2:$C$81=$C21)*($K$2:$K$81&gt;$K21))+1</f>
        <v/>
      </c>
    </row>
    <row r="22">
      <c r="A22">
        <f>Normalization!A22</f>
        <v/>
      </c>
      <c r="B22">
        <f>Normalization!B22</f>
        <v/>
      </c>
      <c r="C22">
        <f>Normalization!C22</f>
        <v/>
      </c>
      <c r="D22" s="6">
        <f>Normalization!D22*Assumptions!$C$7</f>
        <v/>
      </c>
      <c r="E22" s="6">
        <f>Normalization!E22*Assumptions!$C$8</f>
        <v/>
      </c>
      <c r="F22" s="6">
        <f>Normalization!F22*Assumptions!$C$9</f>
        <v/>
      </c>
      <c r="G22" s="6">
        <f>Normalization!G22*Assumptions!$C$10</f>
        <v/>
      </c>
      <c r="H22" s="6">
        <f>Normalization!H22*Assumptions!$C$11</f>
        <v/>
      </c>
      <c r="I22" s="6">
        <f>Normalization!I22*Assumptions!$C$12</f>
        <v/>
      </c>
      <c r="J22" s="6">
        <f>Normalization!J22*Assumptions!$C$13</f>
        <v/>
      </c>
      <c r="K22" s="6">
        <f>SUM(D22:J22)</f>
        <v/>
      </c>
      <c r="L22">
        <f>SUMPRODUCT(($C$2:$C$81=$C22)*($K$2:$K$81&gt;$K22))+1</f>
        <v/>
      </c>
    </row>
    <row r="23">
      <c r="A23">
        <f>Normalization!A23</f>
        <v/>
      </c>
      <c r="B23">
        <f>Normalization!B23</f>
        <v/>
      </c>
      <c r="C23">
        <f>Normalization!C23</f>
        <v/>
      </c>
      <c r="D23" s="6">
        <f>Normalization!D23*Assumptions!$C$7</f>
        <v/>
      </c>
      <c r="E23" s="6">
        <f>Normalization!E23*Assumptions!$C$8</f>
        <v/>
      </c>
      <c r="F23" s="6">
        <f>Normalization!F23*Assumptions!$C$9</f>
        <v/>
      </c>
      <c r="G23" s="6">
        <f>Normalization!G23*Assumptions!$C$10</f>
        <v/>
      </c>
      <c r="H23" s="6">
        <f>Normalization!H23*Assumptions!$C$11</f>
        <v/>
      </c>
      <c r="I23" s="6">
        <f>Normalization!I23*Assumptions!$C$12</f>
        <v/>
      </c>
      <c r="J23" s="6">
        <f>Normalization!J23*Assumptions!$C$13</f>
        <v/>
      </c>
      <c r="K23" s="6">
        <f>SUM(D23:J23)</f>
        <v/>
      </c>
      <c r="L23">
        <f>SUMPRODUCT(($C$2:$C$81=$C23)*($K$2:$K$81&gt;$K23))+1</f>
        <v/>
      </c>
    </row>
    <row r="24">
      <c r="A24">
        <f>Normalization!A24</f>
        <v/>
      </c>
      <c r="B24">
        <f>Normalization!B24</f>
        <v/>
      </c>
      <c r="C24">
        <f>Normalization!C24</f>
        <v/>
      </c>
      <c r="D24" s="6">
        <f>Normalization!D24*Assumptions!$C$7</f>
        <v/>
      </c>
      <c r="E24" s="6">
        <f>Normalization!E24*Assumptions!$C$8</f>
        <v/>
      </c>
      <c r="F24" s="6">
        <f>Normalization!F24*Assumptions!$C$9</f>
        <v/>
      </c>
      <c r="G24" s="6">
        <f>Normalization!G24*Assumptions!$C$10</f>
        <v/>
      </c>
      <c r="H24" s="6">
        <f>Normalization!H24*Assumptions!$C$11</f>
        <v/>
      </c>
      <c r="I24" s="6">
        <f>Normalization!I24*Assumptions!$C$12</f>
        <v/>
      </c>
      <c r="J24" s="6">
        <f>Normalization!J24*Assumptions!$C$13</f>
        <v/>
      </c>
      <c r="K24" s="6">
        <f>SUM(D24:J24)</f>
        <v/>
      </c>
      <c r="L24">
        <f>SUMPRODUCT(($C$2:$C$81=$C24)*($K$2:$K$81&gt;$K24))+1</f>
        <v/>
      </c>
    </row>
    <row r="25">
      <c r="A25">
        <f>Normalization!A25</f>
        <v/>
      </c>
      <c r="B25">
        <f>Normalization!B25</f>
        <v/>
      </c>
      <c r="C25">
        <f>Normalization!C25</f>
        <v/>
      </c>
      <c r="D25" s="6">
        <f>Normalization!D25*Assumptions!$C$7</f>
        <v/>
      </c>
      <c r="E25" s="6">
        <f>Normalization!E25*Assumptions!$C$8</f>
        <v/>
      </c>
      <c r="F25" s="6">
        <f>Normalization!F25*Assumptions!$C$9</f>
        <v/>
      </c>
      <c r="G25" s="6">
        <f>Normalization!G25*Assumptions!$C$10</f>
        <v/>
      </c>
      <c r="H25" s="6">
        <f>Normalization!H25*Assumptions!$C$11</f>
        <v/>
      </c>
      <c r="I25" s="6">
        <f>Normalization!I25*Assumptions!$C$12</f>
        <v/>
      </c>
      <c r="J25" s="6">
        <f>Normalization!J25*Assumptions!$C$13</f>
        <v/>
      </c>
      <c r="K25" s="6">
        <f>SUM(D25:J25)</f>
        <v/>
      </c>
      <c r="L25">
        <f>SUMPRODUCT(($C$2:$C$81=$C25)*($K$2:$K$81&gt;$K25))+1</f>
        <v/>
      </c>
    </row>
    <row r="26">
      <c r="A26">
        <f>Normalization!A26</f>
        <v/>
      </c>
      <c r="B26">
        <f>Normalization!B26</f>
        <v/>
      </c>
      <c r="C26">
        <f>Normalization!C26</f>
        <v/>
      </c>
      <c r="D26" s="6">
        <f>Normalization!D26*Assumptions!$C$7</f>
        <v/>
      </c>
      <c r="E26" s="6">
        <f>Normalization!E26*Assumptions!$C$8</f>
        <v/>
      </c>
      <c r="F26" s="6">
        <f>Normalization!F26*Assumptions!$C$9</f>
        <v/>
      </c>
      <c r="G26" s="6">
        <f>Normalization!G26*Assumptions!$C$10</f>
        <v/>
      </c>
      <c r="H26" s="6">
        <f>Normalization!H26*Assumptions!$C$11</f>
        <v/>
      </c>
      <c r="I26" s="6">
        <f>Normalization!I26*Assumptions!$C$12</f>
        <v/>
      </c>
      <c r="J26" s="6">
        <f>Normalization!J26*Assumptions!$C$13</f>
        <v/>
      </c>
      <c r="K26" s="6">
        <f>SUM(D26:J26)</f>
        <v/>
      </c>
      <c r="L26">
        <f>SUMPRODUCT(($C$2:$C$81=$C26)*($K$2:$K$81&gt;$K26))+1</f>
        <v/>
      </c>
    </row>
    <row r="27">
      <c r="A27">
        <f>Normalization!A27</f>
        <v/>
      </c>
      <c r="B27">
        <f>Normalization!B27</f>
        <v/>
      </c>
      <c r="C27">
        <f>Normalization!C27</f>
        <v/>
      </c>
      <c r="D27" s="6">
        <f>Normalization!D27*Assumptions!$C$7</f>
        <v/>
      </c>
      <c r="E27" s="6">
        <f>Normalization!E27*Assumptions!$C$8</f>
        <v/>
      </c>
      <c r="F27" s="6">
        <f>Normalization!F27*Assumptions!$C$9</f>
        <v/>
      </c>
      <c r="G27" s="6">
        <f>Normalization!G27*Assumptions!$C$10</f>
        <v/>
      </c>
      <c r="H27" s="6">
        <f>Normalization!H27*Assumptions!$C$11</f>
        <v/>
      </c>
      <c r="I27" s="6">
        <f>Normalization!I27*Assumptions!$C$12</f>
        <v/>
      </c>
      <c r="J27" s="6">
        <f>Normalization!J27*Assumptions!$C$13</f>
        <v/>
      </c>
      <c r="K27" s="6">
        <f>SUM(D27:J27)</f>
        <v/>
      </c>
      <c r="L27">
        <f>SUMPRODUCT(($C$2:$C$81=$C27)*($K$2:$K$81&gt;$K27))+1</f>
        <v/>
      </c>
    </row>
    <row r="28">
      <c r="A28">
        <f>Normalization!A28</f>
        <v/>
      </c>
      <c r="B28">
        <f>Normalization!B28</f>
        <v/>
      </c>
      <c r="C28">
        <f>Normalization!C28</f>
        <v/>
      </c>
      <c r="D28" s="6">
        <f>Normalization!D28*Assumptions!$C$7</f>
        <v/>
      </c>
      <c r="E28" s="6">
        <f>Normalization!E28*Assumptions!$C$8</f>
        <v/>
      </c>
      <c r="F28" s="6">
        <f>Normalization!F28*Assumptions!$C$9</f>
        <v/>
      </c>
      <c r="G28" s="6">
        <f>Normalization!G28*Assumptions!$C$10</f>
        <v/>
      </c>
      <c r="H28" s="6">
        <f>Normalization!H28*Assumptions!$C$11</f>
        <v/>
      </c>
      <c r="I28" s="6">
        <f>Normalization!I28*Assumptions!$C$12</f>
        <v/>
      </c>
      <c r="J28" s="6">
        <f>Normalization!J28*Assumptions!$C$13</f>
        <v/>
      </c>
      <c r="K28" s="6">
        <f>SUM(D28:J28)</f>
        <v/>
      </c>
      <c r="L28">
        <f>SUMPRODUCT(($C$2:$C$81=$C28)*($K$2:$K$81&gt;$K28))+1</f>
        <v/>
      </c>
    </row>
    <row r="29">
      <c r="A29">
        <f>Normalization!A29</f>
        <v/>
      </c>
      <c r="B29">
        <f>Normalization!B29</f>
        <v/>
      </c>
      <c r="C29">
        <f>Normalization!C29</f>
        <v/>
      </c>
      <c r="D29" s="6">
        <f>Normalization!D29*Assumptions!$C$7</f>
        <v/>
      </c>
      <c r="E29" s="6">
        <f>Normalization!E29*Assumptions!$C$8</f>
        <v/>
      </c>
      <c r="F29" s="6">
        <f>Normalization!F29*Assumptions!$C$9</f>
        <v/>
      </c>
      <c r="G29" s="6">
        <f>Normalization!G29*Assumptions!$C$10</f>
        <v/>
      </c>
      <c r="H29" s="6">
        <f>Normalization!H29*Assumptions!$C$11</f>
        <v/>
      </c>
      <c r="I29" s="6">
        <f>Normalization!I29*Assumptions!$C$12</f>
        <v/>
      </c>
      <c r="J29" s="6">
        <f>Normalization!J29*Assumptions!$C$13</f>
        <v/>
      </c>
      <c r="K29" s="6">
        <f>SUM(D29:J29)</f>
        <v/>
      </c>
      <c r="L29">
        <f>SUMPRODUCT(($C$2:$C$81=$C29)*($K$2:$K$81&gt;$K29))+1</f>
        <v/>
      </c>
    </row>
    <row r="30">
      <c r="A30">
        <f>Normalization!A30</f>
        <v/>
      </c>
      <c r="B30">
        <f>Normalization!B30</f>
        <v/>
      </c>
      <c r="C30">
        <f>Normalization!C30</f>
        <v/>
      </c>
      <c r="D30" s="6">
        <f>Normalization!D30*Assumptions!$C$7</f>
        <v/>
      </c>
      <c r="E30" s="6">
        <f>Normalization!E30*Assumptions!$C$8</f>
        <v/>
      </c>
      <c r="F30" s="6">
        <f>Normalization!F30*Assumptions!$C$9</f>
        <v/>
      </c>
      <c r="G30" s="6">
        <f>Normalization!G30*Assumptions!$C$10</f>
        <v/>
      </c>
      <c r="H30" s="6">
        <f>Normalization!H30*Assumptions!$C$11</f>
        <v/>
      </c>
      <c r="I30" s="6">
        <f>Normalization!I30*Assumptions!$C$12</f>
        <v/>
      </c>
      <c r="J30" s="6">
        <f>Normalization!J30*Assumptions!$C$13</f>
        <v/>
      </c>
      <c r="K30" s="6">
        <f>SUM(D30:J30)</f>
        <v/>
      </c>
      <c r="L30">
        <f>SUMPRODUCT(($C$2:$C$81=$C30)*($K$2:$K$81&gt;$K30))+1</f>
        <v/>
      </c>
    </row>
    <row r="31">
      <c r="A31">
        <f>Normalization!A31</f>
        <v/>
      </c>
      <c r="B31">
        <f>Normalization!B31</f>
        <v/>
      </c>
      <c r="C31">
        <f>Normalization!C31</f>
        <v/>
      </c>
      <c r="D31" s="6">
        <f>Normalization!D31*Assumptions!$C$7</f>
        <v/>
      </c>
      <c r="E31" s="6">
        <f>Normalization!E31*Assumptions!$C$8</f>
        <v/>
      </c>
      <c r="F31" s="6">
        <f>Normalization!F31*Assumptions!$C$9</f>
        <v/>
      </c>
      <c r="G31" s="6">
        <f>Normalization!G31*Assumptions!$C$10</f>
        <v/>
      </c>
      <c r="H31" s="6">
        <f>Normalization!H31*Assumptions!$C$11</f>
        <v/>
      </c>
      <c r="I31" s="6">
        <f>Normalization!I31*Assumptions!$C$12</f>
        <v/>
      </c>
      <c r="J31" s="6">
        <f>Normalization!J31*Assumptions!$C$13</f>
        <v/>
      </c>
      <c r="K31" s="6">
        <f>SUM(D31:J31)</f>
        <v/>
      </c>
      <c r="L31">
        <f>SUMPRODUCT(($C$2:$C$81=$C31)*($K$2:$K$81&gt;$K31))+1</f>
        <v/>
      </c>
    </row>
    <row r="32">
      <c r="A32">
        <f>Normalization!A32</f>
        <v/>
      </c>
      <c r="B32">
        <f>Normalization!B32</f>
        <v/>
      </c>
      <c r="C32">
        <f>Normalization!C32</f>
        <v/>
      </c>
      <c r="D32" s="6">
        <f>Normalization!D32*Assumptions!$C$7</f>
        <v/>
      </c>
      <c r="E32" s="6">
        <f>Normalization!E32*Assumptions!$C$8</f>
        <v/>
      </c>
      <c r="F32" s="6">
        <f>Normalization!F32*Assumptions!$C$9</f>
        <v/>
      </c>
      <c r="G32" s="6">
        <f>Normalization!G32*Assumptions!$C$10</f>
        <v/>
      </c>
      <c r="H32" s="6">
        <f>Normalization!H32*Assumptions!$C$11</f>
        <v/>
      </c>
      <c r="I32" s="6">
        <f>Normalization!I32*Assumptions!$C$12</f>
        <v/>
      </c>
      <c r="J32" s="6">
        <f>Normalization!J32*Assumptions!$C$13</f>
        <v/>
      </c>
      <c r="K32" s="6">
        <f>SUM(D32:J32)</f>
        <v/>
      </c>
      <c r="L32">
        <f>SUMPRODUCT(($C$2:$C$81=$C32)*($K$2:$K$81&gt;$K32))+1</f>
        <v/>
      </c>
    </row>
    <row r="33">
      <c r="A33">
        <f>Normalization!A33</f>
        <v/>
      </c>
      <c r="B33">
        <f>Normalization!B33</f>
        <v/>
      </c>
      <c r="C33">
        <f>Normalization!C33</f>
        <v/>
      </c>
      <c r="D33" s="6">
        <f>Normalization!D33*Assumptions!$C$7</f>
        <v/>
      </c>
      <c r="E33" s="6">
        <f>Normalization!E33*Assumptions!$C$8</f>
        <v/>
      </c>
      <c r="F33" s="6">
        <f>Normalization!F33*Assumptions!$C$9</f>
        <v/>
      </c>
      <c r="G33" s="6">
        <f>Normalization!G33*Assumptions!$C$10</f>
        <v/>
      </c>
      <c r="H33" s="6">
        <f>Normalization!H33*Assumptions!$C$11</f>
        <v/>
      </c>
      <c r="I33" s="6">
        <f>Normalization!I33*Assumptions!$C$12</f>
        <v/>
      </c>
      <c r="J33" s="6">
        <f>Normalization!J33*Assumptions!$C$13</f>
        <v/>
      </c>
      <c r="K33" s="6">
        <f>SUM(D33:J33)</f>
        <v/>
      </c>
      <c r="L33">
        <f>SUMPRODUCT(($C$2:$C$81=$C33)*($K$2:$K$81&gt;$K33))+1</f>
        <v/>
      </c>
    </row>
    <row r="34">
      <c r="A34">
        <f>Normalization!A34</f>
        <v/>
      </c>
      <c r="B34">
        <f>Normalization!B34</f>
        <v/>
      </c>
      <c r="C34">
        <f>Normalization!C34</f>
        <v/>
      </c>
      <c r="D34" s="6">
        <f>Normalization!D34*Assumptions!$C$7</f>
        <v/>
      </c>
      <c r="E34" s="6">
        <f>Normalization!E34*Assumptions!$C$8</f>
        <v/>
      </c>
      <c r="F34" s="6">
        <f>Normalization!F34*Assumptions!$C$9</f>
        <v/>
      </c>
      <c r="G34" s="6">
        <f>Normalization!G34*Assumptions!$C$10</f>
        <v/>
      </c>
      <c r="H34" s="6">
        <f>Normalization!H34*Assumptions!$C$11</f>
        <v/>
      </c>
      <c r="I34" s="6">
        <f>Normalization!I34*Assumptions!$C$12</f>
        <v/>
      </c>
      <c r="J34" s="6">
        <f>Normalization!J34*Assumptions!$C$13</f>
        <v/>
      </c>
      <c r="K34" s="6">
        <f>SUM(D34:J34)</f>
        <v/>
      </c>
      <c r="L34">
        <f>SUMPRODUCT(($C$2:$C$81=$C34)*($K$2:$K$81&gt;$K34))+1</f>
        <v/>
      </c>
    </row>
    <row r="35">
      <c r="A35">
        <f>Normalization!A35</f>
        <v/>
      </c>
      <c r="B35">
        <f>Normalization!B35</f>
        <v/>
      </c>
      <c r="C35">
        <f>Normalization!C35</f>
        <v/>
      </c>
      <c r="D35" s="6">
        <f>Normalization!D35*Assumptions!$C$7</f>
        <v/>
      </c>
      <c r="E35" s="6">
        <f>Normalization!E35*Assumptions!$C$8</f>
        <v/>
      </c>
      <c r="F35" s="6">
        <f>Normalization!F35*Assumptions!$C$9</f>
        <v/>
      </c>
      <c r="G35" s="6">
        <f>Normalization!G35*Assumptions!$C$10</f>
        <v/>
      </c>
      <c r="H35" s="6">
        <f>Normalization!H35*Assumptions!$C$11</f>
        <v/>
      </c>
      <c r="I35" s="6">
        <f>Normalization!I35*Assumptions!$C$12</f>
        <v/>
      </c>
      <c r="J35" s="6">
        <f>Normalization!J35*Assumptions!$C$13</f>
        <v/>
      </c>
      <c r="K35" s="6">
        <f>SUM(D35:J35)</f>
        <v/>
      </c>
      <c r="L35">
        <f>SUMPRODUCT(($C$2:$C$81=$C35)*($K$2:$K$81&gt;$K35))+1</f>
        <v/>
      </c>
    </row>
    <row r="36">
      <c r="A36">
        <f>Normalization!A36</f>
        <v/>
      </c>
      <c r="B36">
        <f>Normalization!B36</f>
        <v/>
      </c>
      <c r="C36">
        <f>Normalization!C36</f>
        <v/>
      </c>
      <c r="D36" s="6">
        <f>Normalization!D36*Assumptions!$C$7</f>
        <v/>
      </c>
      <c r="E36" s="6">
        <f>Normalization!E36*Assumptions!$C$8</f>
        <v/>
      </c>
      <c r="F36" s="6">
        <f>Normalization!F36*Assumptions!$C$9</f>
        <v/>
      </c>
      <c r="G36" s="6">
        <f>Normalization!G36*Assumptions!$C$10</f>
        <v/>
      </c>
      <c r="H36" s="6">
        <f>Normalization!H36*Assumptions!$C$11</f>
        <v/>
      </c>
      <c r="I36" s="6">
        <f>Normalization!I36*Assumptions!$C$12</f>
        <v/>
      </c>
      <c r="J36" s="6">
        <f>Normalization!J36*Assumptions!$C$13</f>
        <v/>
      </c>
      <c r="K36" s="6">
        <f>SUM(D36:J36)</f>
        <v/>
      </c>
      <c r="L36">
        <f>SUMPRODUCT(($C$2:$C$81=$C36)*($K$2:$K$81&gt;$K36))+1</f>
        <v/>
      </c>
    </row>
    <row r="37">
      <c r="A37">
        <f>Normalization!A37</f>
        <v/>
      </c>
      <c r="B37">
        <f>Normalization!B37</f>
        <v/>
      </c>
      <c r="C37">
        <f>Normalization!C37</f>
        <v/>
      </c>
      <c r="D37" s="6">
        <f>Normalization!D37*Assumptions!$C$7</f>
        <v/>
      </c>
      <c r="E37" s="6">
        <f>Normalization!E37*Assumptions!$C$8</f>
        <v/>
      </c>
      <c r="F37" s="6">
        <f>Normalization!F37*Assumptions!$C$9</f>
        <v/>
      </c>
      <c r="G37" s="6">
        <f>Normalization!G37*Assumptions!$C$10</f>
        <v/>
      </c>
      <c r="H37" s="6">
        <f>Normalization!H37*Assumptions!$C$11</f>
        <v/>
      </c>
      <c r="I37" s="6">
        <f>Normalization!I37*Assumptions!$C$12</f>
        <v/>
      </c>
      <c r="J37" s="6">
        <f>Normalization!J37*Assumptions!$C$13</f>
        <v/>
      </c>
      <c r="K37" s="6">
        <f>SUM(D37:J37)</f>
        <v/>
      </c>
      <c r="L37">
        <f>SUMPRODUCT(($C$2:$C$81=$C37)*($K$2:$K$81&gt;$K37))+1</f>
        <v/>
      </c>
    </row>
    <row r="38">
      <c r="A38">
        <f>Normalization!A38</f>
        <v/>
      </c>
      <c r="B38">
        <f>Normalization!B38</f>
        <v/>
      </c>
      <c r="C38">
        <f>Normalization!C38</f>
        <v/>
      </c>
      <c r="D38" s="6">
        <f>Normalization!D38*Assumptions!$C$7</f>
        <v/>
      </c>
      <c r="E38" s="6">
        <f>Normalization!E38*Assumptions!$C$8</f>
        <v/>
      </c>
      <c r="F38" s="6">
        <f>Normalization!F38*Assumptions!$C$9</f>
        <v/>
      </c>
      <c r="G38" s="6">
        <f>Normalization!G38*Assumptions!$C$10</f>
        <v/>
      </c>
      <c r="H38" s="6">
        <f>Normalization!H38*Assumptions!$C$11</f>
        <v/>
      </c>
      <c r="I38" s="6">
        <f>Normalization!I38*Assumptions!$C$12</f>
        <v/>
      </c>
      <c r="J38" s="6">
        <f>Normalization!J38*Assumptions!$C$13</f>
        <v/>
      </c>
      <c r="K38" s="6">
        <f>SUM(D38:J38)</f>
        <v/>
      </c>
      <c r="L38">
        <f>SUMPRODUCT(($C$2:$C$81=$C38)*($K$2:$K$81&gt;$K38))+1</f>
        <v/>
      </c>
    </row>
    <row r="39">
      <c r="A39">
        <f>Normalization!A39</f>
        <v/>
      </c>
      <c r="B39">
        <f>Normalization!B39</f>
        <v/>
      </c>
      <c r="C39">
        <f>Normalization!C39</f>
        <v/>
      </c>
      <c r="D39" s="6">
        <f>Normalization!D39*Assumptions!$C$7</f>
        <v/>
      </c>
      <c r="E39" s="6">
        <f>Normalization!E39*Assumptions!$C$8</f>
        <v/>
      </c>
      <c r="F39" s="6">
        <f>Normalization!F39*Assumptions!$C$9</f>
        <v/>
      </c>
      <c r="G39" s="6">
        <f>Normalization!G39*Assumptions!$C$10</f>
        <v/>
      </c>
      <c r="H39" s="6">
        <f>Normalization!H39*Assumptions!$C$11</f>
        <v/>
      </c>
      <c r="I39" s="6">
        <f>Normalization!I39*Assumptions!$C$12</f>
        <v/>
      </c>
      <c r="J39" s="6">
        <f>Normalization!J39*Assumptions!$C$13</f>
        <v/>
      </c>
      <c r="K39" s="6">
        <f>SUM(D39:J39)</f>
        <v/>
      </c>
      <c r="L39">
        <f>SUMPRODUCT(($C$2:$C$81=$C39)*($K$2:$K$81&gt;$K39))+1</f>
        <v/>
      </c>
    </row>
    <row r="40">
      <c r="A40">
        <f>Normalization!A40</f>
        <v/>
      </c>
      <c r="B40">
        <f>Normalization!B40</f>
        <v/>
      </c>
      <c r="C40">
        <f>Normalization!C40</f>
        <v/>
      </c>
      <c r="D40" s="6">
        <f>Normalization!D40*Assumptions!$C$7</f>
        <v/>
      </c>
      <c r="E40" s="6">
        <f>Normalization!E40*Assumptions!$C$8</f>
        <v/>
      </c>
      <c r="F40" s="6">
        <f>Normalization!F40*Assumptions!$C$9</f>
        <v/>
      </c>
      <c r="G40" s="6">
        <f>Normalization!G40*Assumptions!$C$10</f>
        <v/>
      </c>
      <c r="H40" s="6">
        <f>Normalization!H40*Assumptions!$C$11</f>
        <v/>
      </c>
      <c r="I40" s="6">
        <f>Normalization!I40*Assumptions!$C$12</f>
        <v/>
      </c>
      <c r="J40" s="6">
        <f>Normalization!J40*Assumptions!$C$13</f>
        <v/>
      </c>
      <c r="K40" s="6">
        <f>SUM(D40:J40)</f>
        <v/>
      </c>
      <c r="L40">
        <f>SUMPRODUCT(($C$2:$C$81=$C40)*($K$2:$K$81&gt;$K40))+1</f>
        <v/>
      </c>
    </row>
    <row r="41">
      <c r="A41">
        <f>Normalization!A41</f>
        <v/>
      </c>
      <c r="B41">
        <f>Normalization!B41</f>
        <v/>
      </c>
      <c r="C41">
        <f>Normalization!C41</f>
        <v/>
      </c>
      <c r="D41" s="6">
        <f>Normalization!D41*Assumptions!$C$7</f>
        <v/>
      </c>
      <c r="E41" s="6">
        <f>Normalization!E41*Assumptions!$C$8</f>
        <v/>
      </c>
      <c r="F41" s="6">
        <f>Normalization!F41*Assumptions!$C$9</f>
        <v/>
      </c>
      <c r="G41" s="6">
        <f>Normalization!G41*Assumptions!$C$10</f>
        <v/>
      </c>
      <c r="H41" s="6">
        <f>Normalization!H41*Assumptions!$C$11</f>
        <v/>
      </c>
      <c r="I41" s="6">
        <f>Normalization!I41*Assumptions!$C$12</f>
        <v/>
      </c>
      <c r="J41" s="6">
        <f>Normalization!J41*Assumptions!$C$13</f>
        <v/>
      </c>
      <c r="K41" s="6">
        <f>SUM(D41:J41)</f>
        <v/>
      </c>
      <c r="L41">
        <f>SUMPRODUCT(($C$2:$C$81=$C41)*($K$2:$K$81&gt;$K41))+1</f>
        <v/>
      </c>
    </row>
    <row r="42">
      <c r="A42">
        <f>Normalization!A42</f>
        <v/>
      </c>
      <c r="B42">
        <f>Normalization!B42</f>
        <v/>
      </c>
      <c r="C42">
        <f>Normalization!C42</f>
        <v/>
      </c>
      <c r="D42" s="6">
        <f>Normalization!D42*Assumptions!$C$7</f>
        <v/>
      </c>
      <c r="E42" s="6">
        <f>Normalization!E42*Assumptions!$C$8</f>
        <v/>
      </c>
      <c r="F42" s="6">
        <f>Normalization!F42*Assumptions!$C$9</f>
        <v/>
      </c>
      <c r="G42" s="6">
        <f>Normalization!G42*Assumptions!$C$10</f>
        <v/>
      </c>
      <c r="H42" s="6">
        <f>Normalization!H42*Assumptions!$C$11</f>
        <v/>
      </c>
      <c r="I42" s="6">
        <f>Normalization!I42*Assumptions!$C$12</f>
        <v/>
      </c>
      <c r="J42" s="6">
        <f>Normalization!J42*Assumptions!$C$13</f>
        <v/>
      </c>
      <c r="K42" s="6">
        <f>SUM(D42:J42)</f>
        <v/>
      </c>
      <c r="L42">
        <f>SUMPRODUCT(($C$2:$C$81=$C42)*($K$2:$K$81&gt;$K42))+1</f>
        <v/>
      </c>
    </row>
    <row r="43">
      <c r="A43">
        <f>Normalization!A43</f>
        <v/>
      </c>
      <c r="B43">
        <f>Normalization!B43</f>
        <v/>
      </c>
      <c r="C43">
        <f>Normalization!C43</f>
        <v/>
      </c>
      <c r="D43" s="6">
        <f>Normalization!D43*Assumptions!$C$7</f>
        <v/>
      </c>
      <c r="E43" s="6">
        <f>Normalization!E43*Assumptions!$C$8</f>
        <v/>
      </c>
      <c r="F43" s="6">
        <f>Normalization!F43*Assumptions!$C$9</f>
        <v/>
      </c>
      <c r="G43" s="6">
        <f>Normalization!G43*Assumptions!$C$10</f>
        <v/>
      </c>
      <c r="H43" s="6">
        <f>Normalization!H43*Assumptions!$C$11</f>
        <v/>
      </c>
      <c r="I43" s="6">
        <f>Normalization!I43*Assumptions!$C$12</f>
        <v/>
      </c>
      <c r="J43" s="6">
        <f>Normalization!J43*Assumptions!$C$13</f>
        <v/>
      </c>
      <c r="K43" s="6">
        <f>SUM(D43:J43)</f>
        <v/>
      </c>
      <c r="L43">
        <f>SUMPRODUCT(($C$2:$C$81=$C43)*($K$2:$K$81&gt;$K43))+1</f>
        <v/>
      </c>
    </row>
    <row r="44">
      <c r="A44">
        <f>Normalization!A44</f>
        <v/>
      </c>
      <c r="B44">
        <f>Normalization!B44</f>
        <v/>
      </c>
      <c r="C44">
        <f>Normalization!C44</f>
        <v/>
      </c>
      <c r="D44" s="6">
        <f>Normalization!D44*Assumptions!$C$7</f>
        <v/>
      </c>
      <c r="E44" s="6">
        <f>Normalization!E44*Assumptions!$C$8</f>
        <v/>
      </c>
      <c r="F44" s="6">
        <f>Normalization!F44*Assumptions!$C$9</f>
        <v/>
      </c>
      <c r="G44" s="6">
        <f>Normalization!G44*Assumptions!$C$10</f>
        <v/>
      </c>
      <c r="H44" s="6">
        <f>Normalization!H44*Assumptions!$C$11</f>
        <v/>
      </c>
      <c r="I44" s="6">
        <f>Normalization!I44*Assumptions!$C$12</f>
        <v/>
      </c>
      <c r="J44" s="6">
        <f>Normalization!J44*Assumptions!$C$13</f>
        <v/>
      </c>
      <c r="K44" s="6">
        <f>SUM(D44:J44)</f>
        <v/>
      </c>
      <c r="L44">
        <f>SUMPRODUCT(($C$2:$C$81=$C44)*($K$2:$K$81&gt;$K44))+1</f>
        <v/>
      </c>
    </row>
    <row r="45">
      <c r="A45">
        <f>Normalization!A45</f>
        <v/>
      </c>
      <c r="B45">
        <f>Normalization!B45</f>
        <v/>
      </c>
      <c r="C45">
        <f>Normalization!C45</f>
        <v/>
      </c>
      <c r="D45" s="6">
        <f>Normalization!D45*Assumptions!$C$7</f>
        <v/>
      </c>
      <c r="E45" s="6">
        <f>Normalization!E45*Assumptions!$C$8</f>
        <v/>
      </c>
      <c r="F45" s="6">
        <f>Normalization!F45*Assumptions!$C$9</f>
        <v/>
      </c>
      <c r="G45" s="6">
        <f>Normalization!G45*Assumptions!$C$10</f>
        <v/>
      </c>
      <c r="H45" s="6">
        <f>Normalization!H45*Assumptions!$C$11</f>
        <v/>
      </c>
      <c r="I45" s="6">
        <f>Normalization!I45*Assumptions!$C$12</f>
        <v/>
      </c>
      <c r="J45" s="6">
        <f>Normalization!J45*Assumptions!$C$13</f>
        <v/>
      </c>
      <c r="K45" s="6">
        <f>SUM(D45:J45)</f>
        <v/>
      </c>
      <c r="L45">
        <f>SUMPRODUCT(($C$2:$C$81=$C45)*($K$2:$K$81&gt;$K45))+1</f>
        <v/>
      </c>
    </row>
    <row r="46">
      <c r="A46">
        <f>Normalization!A46</f>
        <v/>
      </c>
      <c r="B46">
        <f>Normalization!B46</f>
        <v/>
      </c>
      <c r="C46">
        <f>Normalization!C46</f>
        <v/>
      </c>
      <c r="D46" s="6">
        <f>Normalization!D46*Assumptions!$C$7</f>
        <v/>
      </c>
      <c r="E46" s="6">
        <f>Normalization!E46*Assumptions!$C$8</f>
        <v/>
      </c>
      <c r="F46" s="6">
        <f>Normalization!F46*Assumptions!$C$9</f>
        <v/>
      </c>
      <c r="G46" s="6">
        <f>Normalization!G46*Assumptions!$C$10</f>
        <v/>
      </c>
      <c r="H46" s="6">
        <f>Normalization!H46*Assumptions!$C$11</f>
        <v/>
      </c>
      <c r="I46" s="6">
        <f>Normalization!I46*Assumptions!$C$12</f>
        <v/>
      </c>
      <c r="J46" s="6">
        <f>Normalization!J46*Assumptions!$C$13</f>
        <v/>
      </c>
      <c r="K46" s="6">
        <f>SUM(D46:J46)</f>
        <v/>
      </c>
      <c r="L46">
        <f>SUMPRODUCT(($C$2:$C$81=$C46)*($K$2:$K$81&gt;$K46))+1</f>
        <v/>
      </c>
    </row>
    <row r="47">
      <c r="A47">
        <f>Normalization!A47</f>
        <v/>
      </c>
      <c r="B47">
        <f>Normalization!B47</f>
        <v/>
      </c>
      <c r="C47">
        <f>Normalization!C47</f>
        <v/>
      </c>
      <c r="D47" s="6">
        <f>Normalization!D47*Assumptions!$C$7</f>
        <v/>
      </c>
      <c r="E47" s="6">
        <f>Normalization!E47*Assumptions!$C$8</f>
        <v/>
      </c>
      <c r="F47" s="6">
        <f>Normalization!F47*Assumptions!$C$9</f>
        <v/>
      </c>
      <c r="G47" s="6">
        <f>Normalization!G47*Assumptions!$C$10</f>
        <v/>
      </c>
      <c r="H47" s="6">
        <f>Normalization!H47*Assumptions!$C$11</f>
        <v/>
      </c>
      <c r="I47" s="6">
        <f>Normalization!I47*Assumptions!$C$12</f>
        <v/>
      </c>
      <c r="J47" s="6">
        <f>Normalization!J47*Assumptions!$C$13</f>
        <v/>
      </c>
      <c r="K47" s="6">
        <f>SUM(D47:J47)</f>
        <v/>
      </c>
      <c r="L47">
        <f>SUMPRODUCT(($C$2:$C$81=$C47)*($K$2:$K$81&gt;$K47))+1</f>
        <v/>
      </c>
    </row>
    <row r="48">
      <c r="A48">
        <f>Normalization!A48</f>
        <v/>
      </c>
      <c r="B48">
        <f>Normalization!B48</f>
        <v/>
      </c>
      <c r="C48">
        <f>Normalization!C48</f>
        <v/>
      </c>
      <c r="D48" s="6">
        <f>Normalization!D48*Assumptions!$C$7</f>
        <v/>
      </c>
      <c r="E48" s="6">
        <f>Normalization!E48*Assumptions!$C$8</f>
        <v/>
      </c>
      <c r="F48" s="6">
        <f>Normalization!F48*Assumptions!$C$9</f>
        <v/>
      </c>
      <c r="G48" s="6">
        <f>Normalization!G48*Assumptions!$C$10</f>
        <v/>
      </c>
      <c r="H48" s="6">
        <f>Normalization!H48*Assumptions!$C$11</f>
        <v/>
      </c>
      <c r="I48" s="6">
        <f>Normalization!I48*Assumptions!$C$12</f>
        <v/>
      </c>
      <c r="J48" s="6">
        <f>Normalization!J48*Assumptions!$C$13</f>
        <v/>
      </c>
      <c r="K48" s="6">
        <f>SUM(D48:J48)</f>
        <v/>
      </c>
      <c r="L48">
        <f>SUMPRODUCT(($C$2:$C$81=$C48)*($K$2:$K$81&gt;$K48))+1</f>
        <v/>
      </c>
    </row>
    <row r="49">
      <c r="A49">
        <f>Normalization!A49</f>
        <v/>
      </c>
      <c r="B49">
        <f>Normalization!B49</f>
        <v/>
      </c>
      <c r="C49">
        <f>Normalization!C49</f>
        <v/>
      </c>
      <c r="D49" s="6">
        <f>Normalization!D49*Assumptions!$C$7</f>
        <v/>
      </c>
      <c r="E49" s="6">
        <f>Normalization!E49*Assumptions!$C$8</f>
        <v/>
      </c>
      <c r="F49" s="6">
        <f>Normalization!F49*Assumptions!$C$9</f>
        <v/>
      </c>
      <c r="G49" s="6">
        <f>Normalization!G49*Assumptions!$C$10</f>
        <v/>
      </c>
      <c r="H49" s="6">
        <f>Normalization!H49*Assumptions!$C$11</f>
        <v/>
      </c>
      <c r="I49" s="6">
        <f>Normalization!I49*Assumptions!$C$12</f>
        <v/>
      </c>
      <c r="J49" s="6">
        <f>Normalization!J49*Assumptions!$C$13</f>
        <v/>
      </c>
      <c r="K49" s="6">
        <f>SUM(D49:J49)</f>
        <v/>
      </c>
      <c r="L49">
        <f>SUMPRODUCT(($C$2:$C$81=$C49)*($K$2:$K$81&gt;$K49))+1</f>
        <v/>
      </c>
    </row>
    <row r="50">
      <c r="A50">
        <f>Normalization!A50</f>
        <v/>
      </c>
      <c r="B50">
        <f>Normalization!B50</f>
        <v/>
      </c>
      <c r="C50">
        <f>Normalization!C50</f>
        <v/>
      </c>
      <c r="D50" s="6">
        <f>Normalization!D50*Assumptions!$C$7</f>
        <v/>
      </c>
      <c r="E50" s="6">
        <f>Normalization!E50*Assumptions!$C$8</f>
        <v/>
      </c>
      <c r="F50" s="6">
        <f>Normalization!F50*Assumptions!$C$9</f>
        <v/>
      </c>
      <c r="G50" s="6">
        <f>Normalization!G50*Assumptions!$C$10</f>
        <v/>
      </c>
      <c r="H50" s="6">
        <f>Normalization!H50*Assumptions!$C$11</f>
        <v/>
      </c>
      <c r="I50" s="6">
        <f>Normalization!I50*Assumptions!$C$12</f>
        <v/>
      </c>
      <c r="J50" s="6">
        <f>Normalization!J50*Assumptions!$C$13</f>
        <v/>
      </c>
      <c r="K50" s="6">
        <f>SUM(D50:J50)</f>
        <v/>
      </c>
      <c r="L50">
        <f>SUMPRODUCT(($C$2:$C$81=$C50)*($K$2:$K$81&gt;$K50))+1</f>
        <v/>
      </c>
    </row>
    <row r="51">
      <c r="A51">
        <f>Normalization!A51</f>
        <v/>
      </c>
      <c r="B51">
        <f>Normalization!B51</f>
        <v/>
      </c>
      <c r="C51">
        <f>Normalization!C51</f>
        <v/>
      </c>
      <c r="D51" s="6">
        <f>Normalization!D51*Assumptions!$C$7</f>
        <v/>
      </c>
      <c r="E51" s="6">
        <f>Normalization!E51*Assumptions!$C$8</f>
        <v/>
      </c>
      <c r="F51" s="6">
        <f>Normalization!F51*Assumptions!$C$9</f>
        <v/>
      </c>
      <c r="G51" s="6">
        <f>Normalization!G51*Assumptions!$C$10</f>
        <v/>
      </c>
      <c r="H51" s="6">
        <f>Normalization!H51*Assumptions!$C$11</f>
        <v/>
      </c>
      <c r="I51" s="6">
        <f>Normalization!I51*Assumptions!$C$12</f>
        <v/>
      </c>
      <c r="J51" s="6">
        <f>Normalization!J51*Assumptions!$C$13</f>
        <v/>
      </c>
      <c r="K51" s="6">
        <f>SUM(D51:J51)</f>
        <v/>
      </c>
      <c r="L51">
        <f>SUMPRODUCT(($C$2:$C$81=$C51)*($K$2:$K$81&gt;$K51))+1</f>
        <v/>
      </c>
    </row>
    <row r="52">
      <c r="A52">
        <f>Normalization!A52</f>
        <v/>
      </c>
      <c r="B52">
        <f>Normalization!B52</f>
        <v/>
      </c>
      <c r="C52">
        <f>Normalization!C52</f>
        <v/>
      </c>
      <c r="D52" s="6">
        <f>Normalization!D52*Assumptions!$C$7</f>
        <v/>
      </c>
      <c r="E52" s="6">
        <f>Normalization!E52*Assumptions!$C$8</f>
        <v/>
      </c>
      <c r="F52" s="6">
        <f>Normalization!F52*Assumptions!$C$9</f>
        <v/>
      </c>
      <c r="G52" s="6">
        <f>Normalization!G52*Assumptions!$C$10</f>
        <v/>
      </c>
      <c r="H52" s="6">
        <f>Normalization!H52*Assumptions!$C$11</f>
        <v/>
      </c>
      <c r="I52" s="6">
        <f>Normalization!I52*Assumptions!$C$12</f>
        <v/>
      </c>
      <c r="J52" s="6">
        <f>Normalization!J52*Assumptions!$C$13</f>
        <v/>
      </c>
      <c r="K52" s="6">
        <f>SUM(D52:J52)</f>
        <v/>
      </c>
      <c r="L52">
        <f>SUMPRODUCT(($C$2:$C$81=$C52)*($K$2:$K$81&gt;$K52))+1</f>
        <v/>
      </c>
    </row>
    <row r="53">
      <c r="A53">
        <f>Normalization!A53</f>
        <v/>
      </c>
      <c r="B53">
        <f>Normalization!B53</f>
        <v/>
      </c>
      <c r="C53">
        <f>Normalization!C53</f>
        <v/>
      </c>
      <c r="D53" s="6">
        <f>Normalization!D53*Assumptions!$C$7</f>
        <v/>
      </c>
      <c r="E53" s="6">
        <f>Normalization!E53*Assumptions!$C$8</f>
        <v/>
      </c>
      <c r="F53" s="6">
        <f>Normalization!F53*Assumptions!$C$9</f>
        <v/>
      </c>
      <c r="G53" s="6">
        <f>Normalization!G53*Assumptions!$C$10</f>
        <v/>
      </c>
      <c r="H53" s="6">
        <f>Normalization!H53*Assumptions!$C$11</f>
        <v/>
      </c>
      <c r="I53" s="6">
        <f>Normalization!I53*Assumptions!$C$12</f>
        <v/>
      </c>
      <c r="J53" s="6">
        <f>Normalization!J53*Assumptions!$C$13</f>
        <v/>
      </c>
      <c r="K53" s="6">
        <f>SUM(D53:J53)</f>
        <v/>
      </c>
      <c r="L53">
        <f>SUMPRODUCT(($C$2:$C$81=$C53)*($K$2:$K$81&gt;$K53))+1</f>
        <v/>
      </c>
    </row>
    <row r="54">
      <c r="A54">
        <f>Normalization!A54</f>
        <v/>
      </c>
      <c r="B54">
        <f>Normalization!B54</f>
        <v/>
      </c>
      <c r="C54">
        <f>Normalization!C54</f>
        <v/>
      </c>
      <c r="D54" s="6">
        <f>Normalization!D54*Assumptions!$C$7</f>
        <v/>
      </c>
      <c r="E54" s="6">
        <f>Normalization!E54*Assumptions!$C$8</f>
        <v/>
      </c>
      <c r="F54" s="6">
        <f>Normalization!F54*Assumptions!$C$9</f>
        <v/>
      </c>
      <c r="G54" s="6">
        <f>Normalization!G54*Assumptions!$C$10</f>
        <v/>
      </c>
      <c r="H54" s="6">
        <f>Normalization!H54*Assumptions!$C$11</f>
        <v/>
      </c>
      <c r="I54" s="6">
        <f>Normalization!I54*Assumptions!$C$12</f>
        <v/>
      </c>
      <c r="J54" s="6">
        <f>Normalization!J54*Assumptions!$C$13</f>
        <v/>
      </c>
      <c r="K54" s="6">
        <f>SUM(D54:J54)</f>
        <v/>
      </c>
      <c r="L54">
        <f>SUMPRODUCT(($C$2:$C$81=$C54)*($K$2:$K$81&gt;$K54))+1</f>
        <v/>
      </c>
    </row>
    <row r="55">
      <c r="A55">
        <f>Normalization!A55</f>
        <v/>
      </c>
      <c r="B55">
        <f>Normalization!B55</f>
        <v/>
      </c>
      <c r="C55">
        <f>Normalization!C55</f>
        <v/>
      </c>
      <c r="D55" s="6">
        <f>Normalization!D55*Assumptions!$C$7</f>
        <v/>
      </c>
      <c r="E55" s="6">
        <f>Normalization!E55*Assumptions!$C$8</f>
        <v/>
      </c>
      <c r="F55" s="6">
        <f>Normalization!F55*Assumptions!$C$9</f>
        <v/>
      </c>
      <c r="G55" s="6">
        <f>Normalization!G55*Assumptions!$C$10</f>
        <v/>
      </c>
      <c r="H55" s="6">
        <f>Normalization!H55*Assumptions!$C$11</f>
        <v/>
      </c>
      <c r="I55" s="6">
        <f>Normalization!I55*Assumptions!$C$12</f>
        <v/>
      </c>
      <c r="J55" s="6">
        <f>Normalization!J55*Assumptions!$C$13</f>
        <v/>
      </c>
      <c r="K55" s="6">
        <f>SUM(D55:J55)</f>
        <v/>
      </c>
      <c r="L55">
        <f>SUMPRODUCT(($C$2:$C$81=$C55)*($K$2:$K$81&gt;$K55))+1</f>
        <v/>
      </c>
    </row>
    <row r="56">
      <c r="A56">
        <f>Normalization!A56</f>
        <v/>
      </c>
      <c r="B56">
        <f>Normalization!B56</f>
        <v/>
      </c>
      <c r="C56">
        <f>Normalization!C56</f>
        <v/>
      </c>
      <c r="D56" s="6">
        <f>Normalization!D56*Assumptions!$C$7</f>
        <v/>
      </c>
      <c r="E56" s="6">
        <f>Normalization!E56*Assumptions!$C$8</f>
        <v/>
      </c>
      <c r="F56" s="6">
        <f>Normalization!F56*Assumptions!$C$9</f>
        <v/>
      </c>
      <c r="G56" s="6">
        <f>Normalization!G56*Assumptions!$C$10</f>
        <v/>
      </c>
      <c r="H56" s="6">
        <f>Normalization!H56*Assumptions!$C$11</f>
        <v/>
      </c>
      <c r="I56" s="6">
        <f>Normalization!I56*Assumptions!$C$12</f>
        <v/>
      </c>
      <c r="J56" s="6">
        <f>Normalization!J56*Assumptions!$C$13</f>
        <v/>
      </c>
      <c r="K56" s="6">
        <f>SUM(D56:J56)</f>
        <v/>
      </c>
      <c r="L56">
        <f>SUMPRODUCT(($C$2:$C$81=$C56)*($K$2:$K$81&gt;$K56))+1</f>
        <v/>
      </c>
    </row>
    <row r="57">
      <c r="A57">
        <f>Normalization!A57</f>
        <v/>
      </c>
      <c r="B57">
        <f>Normalization!B57</f>
        <v/>
      </c>
      <c r="C57">
        <f>Normalization!C57</f>
        <v/>
      </c>
      <c r="D57" s="6">
        <f>Normalization!D57*Assumptions!$C$7</f>
        <v/>
      </c>
      <c r="E57" s="6">
        <f>Normalization!E57*Assumptions!$C$8</f>
        <v/>
      </c>
      <c r="F57" s="6">
        <f>Normalization!F57*Assumptions!$C$9</f>
        <v/>
      </c>
      <c r="G57" s="6">
        <f>Normalization!G57*Assumptions!$C$10</f>
        <v/>
      </c>
      <c r="H57" s="6">
        <f>Normalization!H57*Assumptions!$C$11</f>
        <v/>
      </c>
      <c r="I57" s="6">
        <f>Normalization!I57*Assumptions!$C$12</f>
        <v/>
      </c>
      <c r="J57" s="6">
        <f>Normalization!J57*Assumptions!$C$13</f>
        <v/>
      </c>
      <c r="K57" s="6">
        <f>SUM(D57:J57)</f>
        <v/>
      </c>
      <c r="L57">
        <f>SUMPRODUCT(($C$2:$C$81=$C57)*($K$2:$K$81&gt;$K57))+1</f>
        <v/>
      </c>
    </row>
    <row r="58">
      <c r="A58">
        <f>Normalization!A58</f>
        <v/>
      </c>
      <c r="B58">
        <f>Normalization!B58</f>
        <v/>
      </c>
      <c r="C58">
        <f>Normalization!C58</f>
        <v/>
      </c>
      <c r="D58" s="6">
        <f>Normalization!D58*Assumptions!$C$7</f>
        <v/>
      </c>
      <c r="E58" s="6">
        <f>Normalization!E58*Assumptions!$C$8</f>
        <v/>
      </c>
      <c r="F58" s="6">
        <f>Normalization!F58*Assumptions!$C$9</f>
        <v/>
      </c>
      <c r="G58" s="6">
        <f>Normalization!G58*Assumptions!$C$10</f>
        <v/>
      </c>
      <c r="H58" s="6">
        <f>Normalization!H58*Assumptions!$C$11</f>
        <v/>
      </c>
      <c r="I58" s="6">
        <f>Normalization!I58*Assumptions!$C$12</f>
        <v/>
      </c>
      <c r="J58" s="6">
        <f>Normalization!J58*Assumptions!$C$13</f>
        <v/>
      </c>
      <c r="K58" s="6">
        <f>SUM(D58:J58)</f>
        <v/>
      </c>
      <c r="L58">
        <f>SUMPRODUCT(($C$2:$C$81=$C58)*($K$2:$K$81&gt;$K58))+1</f>
        <v/>
      </c>
    </row>
    <row r="59">
      <c r="A59">
        <f>Normalization!A59</f>
        <v/>
      </c>
      <c r="B59">
        <f>Normalization!B59</f>
        <v/>
      </c>
      <c r="C59">
        <f>Normalization!C59</f>
        <v/>
      </c>
      <c r="D59" s="6">
        <f>Normalization!D59*Assumptions!$C$7</f>
        <v/>
      </c>
      <c r="E59" s="6">
        <f>Normalization!E59*Assumptions!$C$8</f>
        <v/>
      </c>
      <c r="F59" s="6">
        <f>Normalization!F59*Assumptions!$C$9</f>
        <v/>
      </c>
      <c r="G59" s="6">
        <f>Normalization!G59*Assumptions!$C$10</f>
        <v/>
      </c>
      <c r="H59" s="6">
        <f>Normalization!H59*Assumptions!$C$11</f>
        <v/>
      </c>
      <c r="I59" s="6">
        <f>Normalization!I59*Assumptions!$C$12</f>
        <v/>
      </c>
      <c r="J59" s="6">
        <f>Normalization!J59*Assumptions!$C$13</f>
        <v/>
      </c>
      <c r="K59" s="6">
        <f>SUM(D59:J59)</f>
        <v/>
      </c>
      <c r="L59">
        <f>SUMPRODUCT(($C$2:$C$81=$C59)*($K$2:$K$81&gt;$K59))+1</f>
        <v/>
      </c>
    </row>
    <row r="60">
      <c r="A60">
        <f>Normalization!A60</f>
        <v/>
      </c>
      <c r="B60">
        <f>Normalization!B60</f>
        <v/>
      </c>
      <c r="C60">
        <f>Normalization!C60</f>
        <v/>
      </c>
      <c r="D60" s="6">
        <f>Normalization!D60*Assumptions!$C$7</f>
        <v/>
      </c>
      <c r="E60" s="6">
        <f>Normalization!E60*Assumptions!$C$8</f>
        <v/>
      </c>
      <c r="F60" s="6">
        <f>Normalization!F60*Assumptions!$C$9</f>
        <v/>
      </c>
      <c r="G60" s="6">
        <f>Normalization!G60*Assumptions!$C$10</f>
        <v/>
      </c>
      <c r="H60" s="6">
        <f>Normalization!H60*Assumptions!$C$11</f>
        <v/>
      </c>
      <c r="I60" s="6">
        <f>Normalization!I60*Assumptions!$C$12</f>
        <v/>
      </c>
      <c r="J60" s="6">
        <f>Normalization!J60*Assumptions!$C$13</f>
        <v/>
      </c>
      <c r="K60" s="6">
        <f>SUM(D60:J60)</f>
        <v/>
      </c>
      <c r="L60">
        <f>SUMPRODUCT(($C$2:$C$81=$C60)*($K$2:$K$81&gt;$K60))+1</f>
        <v/>
      </c>
    </row>
    <row r="61">
      <c r="A61">
        <f>Normalization!A61</f>
        <v/>
      </c>
      <c r="B61">
        <f>Normalization!B61</f>
        <v/>
      </c>
      <c r="C61">
        <f>Normalization!C61</f>
        <v/>
      </c>
      <c r="D61" s="6">
        <f>Normalization!D61*Assumptions!$C$7</f>
        <v/>
      </c>
      <c r="E61" s="6">
        <f>Normalization!E61*Assumptions!$C$8</f>
        <v/>
      </c>
      <c r="F61" s="6">
        <f>Normalization!F61*Assumptions!$C$9</f>
        <v/>
      </c>
      <c r="G61" s="6">
        <f>Normalization!G61*Assumptions!$C$10</f>
        <v/>
      </c>
      <c r="H61" s="6">
        <f>Normalization!H61*Assumptions!$C$11</f>
        <v/>
      </c>
      <c r="I61" s="6">
        <f>Normalization!I61*Assumptions!$C$12</f>
        <v/>
      </c>
      <c r="J61" s="6">
        <f>Normalization!J61*Assumptions!$C$13</f>
        <v/>
      </c>
      <c r="K61" s="6">
        <f>SUM(D61:J61)</f>
        <v/>
      </c>
      <c r="L61">
        <f>SUMPRODUCT(($C$2:$C$81=$C61)*($K$2:$K$81&gt;$K61))+1</f>
        <v/>
      </c>
    </row>
    <row r="62">
      <c r="A62">
        <f>Normalization!A62</f>
        <v/>
      </c>
      <c r="B62">
        <f>Normalization!B62</f>
        <v/>
      </c>
      <c r="C62">
        <f>Normalization!C62</f>
        <v/>
      </c>
      <c r="D62" s="6">
        <f>Normalization!D62*Assumptions!$C$7</f>
        <v/>
      </c>
      <c r="E62" s="6">
        <f>Normalization!E62*Assumptions!$C$8</f>
        <v/>
      </c>
      <c r="F62" s="6">
        <f>Normalization!F62*Assumptions!$C$9</f>
        <v/>
      </c>
      <c r="G62" s="6">
        <f>Normalization!G62*Assumptions!$C$10</f>
        <v/>
      </c>
      <c r="H62" s="6">
        <f>Normalization!H62*Assumptions!$C$11</f>
        <v/>
      </c>
      <c r="I62" s="6">
        <f>Normalization!I62*Assumptions!$C$12</f>
        <v/>
      </c>
      <c r="J62" s="6">
        <f>Normalization!J62*Assumptions!$C$13</f>
        <v/>
      </c>
      <c r="K62" s="6">
        <f>SUM(D62:J62)</f>
        <v/>
      </c>
      <c r="L62">
        <f>SUMPRODUCT(($C$2:$C$81=$C62)*($K$2:$K$81&gt;$K62))+1</f>
        <v/>
      </c>
    </row>
    <row r="63">
      <c r="A63">
        <f>Normalization!A63</f>
        <v/>
      </c>
      <c r="B63">
        <f>Normalization!B63</f>
        <v/>
      </c>
      <c r="C63">
        <f>Normalization!C63</f>
        <v/>
      </c>
      <c r="D63" s="6">
        <f>Normalization!D63*Assumptions!$C$7</f>
        <v/>
      </c>
      <c r="E63" s="6">
        <f>Normalization!E63*Assumptions!$C$8</f>
        <v/>
      </c>
      <c r="F63" s="6">
        <f>Normalization!F63*Assumptions!$C$9</f>
        <v/>
      </c>
      <c r="G63" s="6">
        <f>Normalization!G63*Assumptions!$C$10</f>
        <v/>
      </c>
      <c r="H63" s="6">
        <f>Normalization!H63*Assumptions!$C$11</f>
        <v/>
      </c>
      <c r="I63" s="6">
        <f>Normalization!I63*Assumptions!$C$12</f>
        <v/>
      </c>
      <c r="J63" s="6">
        <f>Normalization!J63*Assumptions!$C$13</f>
        <v/>
      </c>
      <c r="K63" s="6">
        <f>SUM(D63:J63)</f>
        <v/>
      </c>
      <c r="L63">
        <f>SUMPRODUCT(($C$2:$C$81=$C63)*($K$2:$K$81&gt;$K63))+1</f>
        <v/>
      </c>
    </row>
    <row r="64">
      <c r="A64">
        <f>Normalization!A64</f>
        <v/>
      </c>
      <c r="B64">
        <f>Normalization!B64</f>
        <v/>
      </c>
      <c r="C64">
        <f>Normalization!C64</f>
        <v/>
      </c>
      <c r="D64" s="6">
        <f>Normalization!D64*Assumptions!$C$7</f>
        <v/>
      </c>
      <c r="E64" s="6">
        <f>Normalization!E64*Assumptions!$C$8</f>
        <v/>
      </c>
      <c r="F64" s="6">
        <f>Normalization!F64*Assumptions!$C$9</f>
        <v/>
      </c>
      <c r="G64" s="6">
        <f>Normalization!G64*Assumptions!$C$10</f>
        <v/>
      </c>
      <c r="H64" s="6">
        <f>Normalization!H64*Assumptions!$C$11</f>
        <v/>
      </c>
      <c r="I64" s="6">
        <f>Normalization!I64*Assumptions!$C$12</f>
        <v/>
      </c>
      <c r="J64" s="6">
        <f>Normalization!J64*Assumptions!$C$13</f>
        <v/>
      </c>
      <c r="K64" s="6">
        <f>SUM(D64:J64)</f>
        <v/>
      </c>
      <c r="L64">
        <f>SUMPRODUCT(($C$2:$C$81=$C64)*($K$2:$K$81&gt;$K64))+1</f>
        <v/>
      </c>
    </row>
    <row r="65">
      <c r="A65">
        <f>Normalization!A65</f>
        <v/>
      </c>
      <c r="B65">
        <f>Normalization!B65</f>
        <v/>
      </c>
      <c r="C65">
        <f>Normalization!C65</f>
        <v/>
      </c>
      <c r="D65" s="6">
        <f>Normalization!D65*Assumptions!$C$7</f>
        <v/>
      </c>
      <c r="E65" s="6">
        <f>Normalization!E65*Assumptions!$C$8</f>
        <v/>
      </c>
      <c r="F65" s="6">
        <f>Normalization!F65*Assumptions!$C$9</f>
        <v/>
      </c>
      <c r="G65" s="6">
        <f>Normalization!G65*Assumptions!$C$10</f>
        <v/>
      </c>
      <c r="H65" s="6">
        <f>Normalization!H65*Assumptions!$C$11</f>
        <v/>
      </c>
      <c r="I65" s="6">
        <f>Normalization!I65*Assumptions!$C$12</f>
        <v/>
      </c>
      <c r="J65" s="6">
        <f>Normalization!J65*Assumptions!$C$13</f>
        <v/>
      </c>
      <c r="K65" s="6">
        <f>SUM(D65:J65)</f>
        <v/>
      </c>
      <c r="L65">
        <f>SUMPRODUCT(($C$2:$C$81=$C65)*($K$2:$K$81&gt;$K65))+1</f>
        <v/>
      </c>
    </row>
    <row r="66">
      <c r="A66">
        <f>Normalization!A66</f>
        <v/>
      </c>
      <c r="B66">
        <f>Normalization!B66</f>
        <v/>
      </c>
      <c r="C66">
        <f>Normalization!C66</f>
        <v/>
      </c>
      <c r="D66" s="6">
        <f>Normalization!D66*Assumptions!$C$7</f>
        <v/>
      </c>
      <c r="E66" s="6">
        <f>Normalization!E66*Assumptions!$C$8</f>
        <v/>
      </c>
      <c r="F66" s="6">
        <f>Normalization!F66*Assumptions!$C$9</f>
        <v/>
      </c>
      <c r="G66" s="6">
        <f>Normalization!G66*Assumptions!$C$10</f>
        <v/>
      </c>
      <c r="H66" s="6">
        <f>Normalization!H66*Assumptions!$C$11</f>
        <v/>
      </c>
      <c r="I66" s="6">
        <f>Normalization!I66*Assumptions!$C$12</f>
        <v/>
      </c>
      <c r="J66" s="6">
        <f>Normalization!J66*Assumptions!$C$13</f>
        <v/>
      </c>
      <c r="K66" s="6">
        <f>SUM(D66:J66)</f>
        <v/>
      </c>
      <c r="L66">
        <f>SUMPRODUCT(($C$2:$C$81=$C66)*($K$2:$K$81&gt;$K66))+1</f>
        <v/>
      </c>
    </row>
    <row r="67">
      <c r="A67">
        <f>Normalization!A67</f>
        <v/>
      </c>
      <c r="B67">
        <f>Normalization!B67</f>
        <v/>
      </c>
      <c r="C67">
        <f>Normalization!C67</f>
        <v/>
      </c>
      <c r="D67" s="6">
        <f>Normalization!D67*Assumptions!$C$7</f>
        <v/>
      </c>
      <c r="E67" s="6">
        <f>Normalization!E67*Assumptions!$C$8</f>
        <v/>
      </c>
      <c r="F67" s="6">
        <f>Normalization!F67*Assumptions!$C$9</f>
        <v/>
      </c>
      <c r="G67" s="6">
        <f>Normalization!G67*Assumptions!$C$10</f>
        <v/>
      </c>
      <c r="H67" s="6">
        <f>Normalization!H67*Assumptions!$C$11</f>
        <v/>
      </c>
      <c r="I67" s="6">
        <f>Normalization!I67*Assumptions!$C$12</f>
        <v/>
      </c>
      <c r="J67" s="6">
        <f>Normalization!J67*Assumptions!$C$13</f>
        <v/>
      </c>
      <c r="K67" s="6">
        <f>SUM(D67:J67)</f>
        <v/>
      </c>
      <c r="L67">
        <f>SUMPRODUCT(($C$2:$C$81=$C67)*($K$2:$K$81&gt;$K67))+1</f>
        <v/>
      </c>
    </row>
    <row r="68">
      <c r="A68">
        <f>Normalization!A68</f>
        <v/>
      </c>
      <c r="B68">
        <f>Normalization!B68</f>
        <v/>
      </c>
      <c r="C68">
        <f>Normalization!C68</f>
        <v/>
      </c>
      <c r="D68" s="6">
        <f>Normalization!D68*Assumptions!$C$7</f>
        <v/>
      </c>
      <c r="E68" s="6">
        <f>Normalization!E68*Assumptions!$C$8</f>
        <v/>
      </c>
      <c r="F68" s="6">
        <f>Normalization!F68*Assumptions!$C$9</f>
        <v/>
      </c>
      <c r="G68" s="6">
        <f>Normalization!G68*Assumptions!$C$10</f>
        <v/>
      </c>
      <c r="H68" s="6">
        <f>Normalization!H68*Assumptions!$C$11</f>
        <v/>
      </c>
      <c r="I68" s="6">
        <f>Normalization!I68*Assumptions!$C$12</f>
        <v/>
      </c>
      <c r="J68" s="6">
        <f>Normalization!J68*Assumptions!$C$13</f>
        <v/>
      </c>
      <c r="K68" s="6">
        <f>SUM(D68:J68)</f>
        <v/>
      </c>
      <c r="L68">
        <f>SUMPRODUCT(($C$2:$C$81=$C68)*($K$2:$K$81&gt;$K68))+1</f>
        <v/>
      </c>
    </row>
    <row r="69">
      <c r="A69">
        <f>Normalization!A69</f>
        <v/>
      </c>
      <c r="B69">
        <f>Normalization!B69</f>
        <v/>
      </c>
      <c r="C69">
        <f>Normalization!C69</f>
        <v/>
      </c>
      <c r="D69" s="6">
        <f>Normalization!D69*Assumptions!$C$7</f>
        <v/>
      </c>
      <c r="E69" s="6">
        <f>Normalization!E69*Assumptions!$C$8</f>
        <v/>
      </c>
      <c r="F69" s="6">
        <f>Normalization!F69*Assumptions!$C$9</f>
        <v/>
      </c>
      <c r="G69" s="6">
        <f>Normalization!G69*Assumptions!$C$10</f>
        <v/>
      </c>
      <c r="H69" s="6">
        <f>Normalization!H69*Assumptions!$C$11</f>
        <v/>
      </c>
      <c r="I69" s="6">
        <f>Normalization!I69*Assumptions!$C$12</f>
        <v/>
      </c>
      <c r="J69" s="6">
        <f>Normalization!J69*Assumptions!$C$13</f>
        <v/>
      </c>
      <c r="K69" s="6">
        <f>SUM(D69:J69)</f>
        <v/>
      </c>
      <c r="L69">
        <f>SUMPRODUCT(($C$2:$C$81=$C69)*($K$2:$K$81&gt;$K69))+1</f>
        <v/>
      </c>
    </row>
    <row r="70">
      <c r="A70">
        <f>Normalization!A70</f>
        <v/>
      </c>
      <c r="B70">
        <f>Normalization!B70</f>
        <v/>
      </c>
      <c r="C70">
        <f>Normalization!C70</f>
        <v/>
      </c>
      <c r="D70" s="6">
        <f>Normalization!D70*Assumptions!$C$7</f>
        <v/>
      </c>
      <c r="E70" s="6">
        <f>Normalization!E70*Assumptions!$C$8</f>
        <v/>
      </c>
      <c r="F70" s="6">
        <f>Normalization!F70*Assumptions!$C$9</f>
        <v/>
      </c>
      <c r="G70" s="6">
        <f>Normalization!G70*Assumptions!$C$10</f>
        <v/>
      </c>
      <c r="H70" s="6">
        <f>Normalization!H70*Assumptions!$C$11</f>
        <v/>
      </c>
      <c r="I70" s="6">
        <f>Normalization!I70*Assumptions!$C$12</f>
        <v/>
      </c>
      <c r="J70" s="6">
        <f>Normalization!J70*Assumptions!$C$13</f>
        <v/>
      </c>
      <c r="K70" s="6">
        <f>SUM(D70:J70)</f>
        <v/>
      </c>
      <c r="L70">
        <f>SUMPRODUCT(($C$2:$C$81=$C70)*($K$2:$K$81&gt;$K70))+1</f>
        <v/>
      </c>
    </row>
    <row r="71">
      <c r="A71">
        <f>Normalization!A71</f>
        <v/>
      </c>
      <c r="B71">
        <f>Normalization!B71</f>
        <v/>
      </c>
      <c r="C71">
        <f>Normalization!C71</f>
        <v/>
      </c>
      <c r="D71" s="6">
        <f>Normalization!D71*Assumptions!$C$7</f>
        <v/>
      </c>
      <c r="E71" s="6">
        <f>Normalization!E71*Assumptions!$C$8</f>
        <v/>
      </c>
      <c r="F71" s="6">
        <f>Normalization!F71*Assumptions!$C$9</f>
        <v/>
      </c>
      <c r="G71" s="6">
        <f>Normalization!G71*Assumptions!$C$10</f>
        <v/>
      </c>
      <c r="H71" s="6">
        <f>Normalization!H71*Assumptions!$C$11</f>
        <v/>
      </c>
      <c r="I71" s="6">
        <f>Normalization!I71*Assumptions!$C$12</f>
        <v/>
      </c>
      <c r="J71" s="6">
        <f>Normalization!J71*Assumptions!$C$13</f>
        <v/>
      </c>
      <c r="K71" s="6">
        <f>SUM(D71:J71)</f>
        <v/>
      </c>
      <c r="L71">
        <f>SUMPRODUCT(($C$2:$C$81=$C71)*($K$2:$K$81&gt;$K71))+1</f>
        <v/>
      </c>
    </row>
    <row r="72">
      <c r="A72">
        <f>Normalization!A72</f>
        <v/>
      </c>
      <c r="B72">
        <f>Normalization!B72</f>
        <v/>
      </c>
      <c r="C72">
        <f>Normalization!C72</f>
        <v/>
      </c>
      <c r="D72" s="6">
        <f>Normalization!D72*Assumptions!$C$7</f>
        <v/>
      </c>
      <c r="E72" s="6">
        <f>Normalization!E72*Assumptions!$C$8</f>
        <v/>
      </c>
      <c r="F72" s="6">
        <f>Normalization!F72*Assumptions!$C$9</f>
        <v/>
      </c>
      <c r="G72" s="6">
        <f>Normalization!G72*Assumptions!$C$10</f>
        <v/>
      </c>
      <c r="H72" s="6">
        <f>Normalization!H72*Assumptions!$C$11</f>
        <v/>
      </c>
      <c r="I72" s="6">
        <f>Normalization!I72*Assumptions!$C$12</f>
        <v/>
      </c>
      <c r="J72" s="6">
        <f>Normalization!J72*Assumptions!$C$13</f>
        <v/>
      </c>
      <c r="K72" s="6">
        <f>SUM(D72:J72)</f>
        <v/>
      </c>
      <c r="L72">
        <f>SUMPRODUCT(($C$2:$C$81=$C72)*($K$2:$K$81&gt;$K72))+1</f>
        <v/>
      </c>
    </row>
    <row r="73">
      <c r="A73">
        <f>Normalization!A73</f>
        <v/>
      </c>
      <c r="B73">
        <f>Normalization!B73</f>
        <v/>
      </c>
      <c r="C73">
        <f>Normalization!C73</f>
        <v/>
      </c>
      <c r="D73" s="6">
        <f>Normalization!D73*Assumptions!$C$7</f>
        <v/>
      </c>
      <c r="E73" s="6">
        <f>Normalization!E73*Assumptions!$C$8</f>
        <v/>
      </c>
      <c r="F73" s="6">
        <f>Normalization!F73*Assumptions!$C$9</f>
        <v/>
      </c>
      <c r="G73" s="6">
        <f>Normalization!G73*Assumptions!$C$10</f>
        <v/>
      </c>
      <c r="H73" s="6">
        <f>Normalization!H73*Assumptions!$C$11</f>
        <v/>
      </c>
      <c r="I73" s="6">
        <f>Normalization!I73*Assumptions!$C$12</f>
        <v/>
      </c>
      <c r="J73" s="6">
        <f>Normalization!J73*Assumptions!$C$13</f>
        <v/>
      </c>
      <c r="K73" s="6">
        <f>SUM(D73:J73)</f>
        <v/>
      </c>
      <c r="L73">
        <f>SUMPRODUCT(($C$2:$C$81=$C73)*($K$2:$K$81&gt;$K73))+1</f>
        <v/>
      </c>
    </row>
    <row r="74">
      <c r="A74">
        <f>Normalization!A74</f>
        <v/>
      </c>
      <c r="B74">
        <f>Normalization!B74</f>
        <v/>
      </c>
      <c r="C74">
        <f>Normalization!C74</f>
        <v/>
      </c>
      <c r="D74" s="6">
        <f>Normalization!D74*Assumptions!$C$7</f>
        <v/>
      </c>
      <c r="E74" s="6">
        <f>Normalization!E74*Assumptions!$C$8</f>
        <v/>
      </c>
      <c r="F74" s="6">
        <f>Normalization!F74*Assumptions!$C$9</f>
        <v/>
      </c>
      <c r="G74" s="6">
        <f>Normalization!G74*Assumptions!$C$10</f>
        <v/>
      </c>
      <c r="H74" s="6">
        <f>Normalization!H74*Assumptions!$C$11</f>
        <v/>
      </c>
      <c r="I74" s="6">
        <f>Normalization!I74*Assumptions!$C$12</f>
        <v/>
      </c>
      <c r="J74" s="6">
        <f>Normalization!J74*Assumptions!$C$13</f>
        <v/>
      </c>
      <c r="K74" s="6">
        <f>SUM(D74:J74)</f>
        <v/>
      </c>
      <c r="L74">
        <f>SUMPRODUCT(($C$2:$C$81=$C74)*($K$2:$K$81&gt;$K74))+1</f>
        <v/>
      </c>
    </row>
    <row r="75">
      <c r="A75">
        <f>Normalization!A75</f>
        <v/>
      </c>
      <c r="B75">
        <f>Normalization!B75</f>
        <v/>
      </c>
      <c r="C75">
        <f>Normalization!C75</f>
        <v/>
      </c>
      <c r="D75" s="6">
        <f>Normalization!D75*Assumptions!$C$7</f>
        <v/>
      </c>
      <c r="E75" s="6">
        <f>Normalization!E75*Assumptions!$C$8</f>
        <v/>
      </c>
      <c r="F75" s="6">
        <f>Normalization!F75*Assumptions!$C$9</f>
        <v/>
      </c>
      <c r="G75" s="6">
        <f>Normalization!G75*Assumptions!$C$10</f>
        <v/>
      </c>
      <c r="H75" s="6">
        <f>Normalization!H75*Assumptions!$C$11</f>
        <v/>
      </c>
      <c r="I75" s="6">
        <f>Normalization!I75*Assumptions!$C$12</f>
        <v/>
      </c>
      <c r="J75" s="6">
        <f>Normalization!J75*Assumptions!$C$13</f>
        <v/>
      </c>
      <c r="K75" s="6">
        <f>SUM(D75:J75)</f>
        <v/>
      </c>
      <c r="L75">
        <f>SUMPRODUCT(($C$2:$C$81=$C75)*($K$2:$K$81&gt;$K75))+1</f>
        <v/>
      </c>
    </row>
    <row r="76">
      <c r="A76">
        <f>Normalization!A76</f>
        <v/>
      </c>
      <c r="B76">
        <f>Normalization!B76</f>
        <v/>
      </c>
      <c r="C76">
        <f>Normalization!C76</f>
        <v/>
      </c>
      <c r="D76" s="6">
        <f>Normalization!D76*Assumptions!$C$7</f>
        <v/>
      </c>
      <c r="E76" s="6">
        <f>Normalization!E76*Assumptions!$C$8</f>
        <v/>
      </c>
      <c r="F76" s="6">
        <f>Normalization!F76*Assumptions!$C$9</f>
        <v/>
      </c>
      <c r="G76" s="6">
        <f>Normalization!G76*Assumptions!$C$10</f>
        <v/>
      </c>
      <c r="H76" s="6">
        <f>Normalization!H76*Assumptions!$C$11</f>
        <v/>
      </c>
      <c r="I76" s="6">
        <f>Normalization!I76*Assumptions!$C$12</f>
        <v/>
      </c>
      <c r="J76" s="6">
        <f>Normalization!J76*Assumptions!$C$13</f>
        <v/>
      </c>
      <c r="K76" s="6">
        <f>SUM(D76:J76)</f>
        <v/>
      </c>
      <c r="L76">
        <f>SUMPRODUCT(($C$2:$C$81=$C76)*($K$2:$K$81&gt;$K76))+1</f>
        <v/>
      </c>
    </row>
    <row r="77">
      <c r="A77">
        <f>Normalization!A77</f>
        <v/>
      </c>
      <c r="B77">
        <f>Normalization!B77</f>
        <v/>
      </c>
      <c r="C77">
        <f>Normalization!C77</f>
        <v/>
      </c>
      <c r="D77" s="6">
        <f>Normalization!D77*Assumptions!$C$7</f>
        <v/>
      </c>
      <c r="E77" s="6">
        <f>Normalization!E77*Assumptions!$C$8</f>
        <v/>
      </c>
      <c r="F77" s="6">
        <f>Normalization!F77*Assumptions!$C$9</f>
        <v/>
      </c>
      <c r="G77" s="6">
        <f>Normalization!G77*Assumptions!$C$10</f>
        <v/>
      </c>
      <c r="H77" s="6">
        <f>Normalization!H77*Assumptions!$C$11</f>
        <v/>
      </c>
      <c r="I77" s="6">
        <f>Normalization!I77*Assumptions!$C$12</f>
        <v/>
      </c>
      <c r="J77" s="6">
        <f>Normalization!J77*Assumptions!$C$13</f>
        <v/>
      </c>
      <c r="K77" s="6">
        <f>SUM(D77:J77)</f>
        <v/>
      </c>
      <c r="L77">
        <f>SUMPRODUCT(($C$2:$C$81=$C77)*($K$2:$K$81&gt;$K77))+1</f>
        <v/>
      </c>
    </row>
    <row r="78">
      <c r="A78">
        <f>Normalization!A78</f>
        <v/>
      </c>
      <c r="B78">
        <f>Normalization!B78</f>
        <v/>
      </c>
      <c r="C78">
        <f>Normalization!C78</f>
        <v/>
      </c>
      <c r="D78" s="6">
        <f>Normalization!D78*Assumptions!$C$7</f>
        <v/>
      </c>
      <c r="E78" s="6">
        <f>Normalization!E78*Assumptions!$C$8</f>
        <v/>
      </c>
      <c r="F78" s="6">
        <f>Normalization!F78*Assumptions!$C$9</f>
        <v/>
      </c>
      <c r="G78" s="6">
        <f>Normalization!G78*Assumptions!$C$10</f>
        <v/>
      </c>
      <c r="H78" s="6">
        <f>Normalization!H78*Assumptions!$C$11</f>
        <v/>
      </c>
      <c r="I78" s="6">
        <f>Normalization!I78*Assumptions!$C$12</f>
        <v/>
      </c>
      <c r="J78" s="6">
        <f>Normalization!J78*Assumptions!$C$13</f>
        <v/>
      </c>
      <c r="K78" s="6">
        <f>SUM(D78:J78)</f>
        <v/>
      </c>
      <c r="L78">
        <f>SUMPRODUCT(($C$2:$C$81=$C78)*($K$2:$K$81&gt;$K78))+1</f>
        <v/>
      </c>
    </row>
    <row r="79">
      <c r="A79">
        <f>Normalization!A79</f>
        <v/>
      </c>
      <c r="B79">
        <f>Normalization!B79</f>
        <v/>
      </c>
      <c r="C79">
        <f>Normalization!C79</f>
        <v/>
      </c>
      <c r="D79" s="6">
        <f>Normalization!D79*Assumptions!$C$7</f>
        <v/>
      </c>
      <c r="E79" s="6">
        <f>Normalization!E79*Assumptions!$C$8</f>
        <v/>
      </c>
      <c r="F79" s="6">
        <f>Normalization!F79*Assumptions!$C$9</f>
        <v/>
      </c>
      <c r="G79" s="6">
        <f>Normalization!G79*Assumptions!$C$10</f>
        <v/>
      </c>
      <c r="H79" s="6">
        <f>Normalization!H79*Assumptions!$C$11</f>
        <v/>
      </c>
      <c r="I79" s="6">
        <f>Normalization!I79*Assumptions!$C$12</f>
        <v/>
      </c>
      <c r="J79" s="6">
        <f>Normalization!J79*Assumptions!$C$13</f>
        <v/>
      </c>
      <c r="K79" s="6">
        <f>SUM(D79:J79)</f>
        <v/>
      </c>
      <c r="L79">
        <f>SUMPRODUCT(($C$2:$C$81=$C79)*($K$2:$K$81&gt;$K79))+1</f>
        <v/>
      </c>
    </row>
    <row r="80">
      <c r="A80">
        <f>Normalization!A80</f>
        <v/>
      </c>
      <c r="B80">
        <f>Normalization!B80</f>
        <v/>
      </c>
      <c r="C80">
        <f>Normalization!C80</f>
        <v/>
      </c>
      <c r="D80" s="6">
        <f>Normalization!D80*Assumptions!$C$7</f>
        <v/>
      </c>
      <c r="E80" s="6">
        <f>Normalization!E80*Assumptions!$C$8</f>
        <v/>
      </c>
      <c r="F80" s="6">
        <f>Normalization!F80*Assumptions!$C$9</f>
        <v/>
      </c>
      <c r="G80" s="6">
        <f>Normalization!G80*Assumptions!$C$10</f>
        <v/>
      </c>
      <c r="H80" s="6">
        <f>Normalization!H80*Assumptions!$C$11</f>
        <v/>
      </c>
      <c r="I80" s="6">
        <f>Normalization!I80*Assumptions!$C$12</f>
        <v/>
      </c>
      <c r="J80" s="6">
        <f>Normalization!J80*Assumptions!$C$13</f>
        <v/>
      </c>
      <c r="K80" s="6">
        <f>SUM(D80:J80)</f>
        <v/>
      </c>
      <c r="L80">
        <f>SUMPRODUCT(($C$2:$C$81=$C80)*($K$2:$K$81&gt;$K80))+1</f>
        <v/>
      </c>
    </row>
    <row r="81">
      <c r="A81">
        <f>Normalization!A81</f>
        <v/>
      </c>
      <c r="B81">
        <f>Normalization!B81</f>
        <v/>
      </c>
      <c r="C81">
        <f>Normalization!C81</f>
        <v/>
      </c>
      <c r="D81" s="6">
        <f>Normalization!D81*Assumptions!$C$7</f>
        <v/>
      </c>
      <c r="E81" s="6">
        <f>Normalization!E81*Assumptions!$C$8</f>
        <v/>
      </c>
      <c r="F81" s="6">
        <f>Normalization!F81*Assumptions!$C$9</f>
        <v/>
      </c>
      <c r="G81" s="6">
        <f>Normalization!G81*Assumptions!$C$10</f>
        <v/>
      </c>
      <c r="H81" s="6">
        <f>Normalization!H81*Assumptions!$C$11</f>
        <v/>
      </c>
      <c r="I81" s="6">
        <f>Normalization!I81*Assumptions!$C$12</f>
        <v/>
      </c>
      <c r="J81" s="6">
        <f>Normalization!J81*Assumptions!$C$13</f>
        <v/>
      </c>
      <c r="K81" s="6">
        <f>SUM(D81:J81)</f>
        <v/>
      </c>
      <c r="L81">
        <f>SUMPRODUCT(($C$2:$C$81=$C81)*($K$2:$K$81&gt;$K81))+1</f>
        <v/>
      </c>
    </row>
    <row r="83">
      <c r="A83" s="7" t="inlineStr">
        <is>
          <t>Illustrative dataset constructed to be directionally consistent with publicly reported industry estimates. Figures are for methodology demonstration and are not market research.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segment_id</t>
        </is>
      </c>
      <c r="B1" s="1" t="inlineStr">
        <is>
          <t>segment_name</t>
        </is>
      </c>
      <c r="C1" s="1" t="inlineStr">
        <is>
          <t>year</t>
        </is>
      </c>
      <c r="D1" s="1" t="inlineStr">
        <is>
          <t>Score - Base (house view)</t>
        </is>
      </c>
      <c r="E1" s="1" t="inlineStr">
        <is>
          <t>Score - Growth-weighted</t>
        </is>
      </c>
      <c r="F1" s="1" t="inlineStr">
        <is>
          <t>Score - Feasibility-weighted</t>
        </is>
      </c>
      <c r="G1" s="1" t="inlineStr">
        <is>
          <t>Score - Fit-weighted</t>
        </is>
      </c>
      <c r="H1" s="1" t="inlineStr">
        <is>
          <t>Rank - Base (house view)</t>
        </is>
      </c>
      <c r="I1" s="1" t="inlineStr">
        <is>
          <t>Rank - Growth-weighted</t>
        </is>
      </c>
      <c r="J1" s="1" t="inlineStr">
        <is>
          <t>Rank - Feasibility-weighted</t>
        </is>
      </c>
      <c r="K1" s="1" t="inlineStr">
        <is>
          <t>Rank - Fit-weighted</t>
        </is>
      </c>
    </row>
    <row r="2">
      <c r="A2">
        <f>Normalization!A2</f>
        <v/>
      </c>
      <c r="B2">
        <f>Normalization!B2</f>
        <v/>
      </c>
      <c r="C2">
        <f>Normalization!C2</f>
        <v/>
      </c>
      <c r="D2" s="6">
        <f>Normalization!D2*Assumptions!$C$7+Normalization!E2*Assumptions!$C$8+Normalization!F2*Assumptions!$C$9+Normalization!G2*Assumptions!$C$10+Normalization!H2*Assumptions!$C$11+Normalization!I2*Assumptions!$C$12+Normalization!J2*Assumptions!$C$13</f>
        <v/>
      </c>
      <c r="E2" s="6">
        <f>Normalization!D2*Assumptions!$D$7+Normalization!E2*Assumptions!$D$8+Normalization!F2*Assumptions!$D$9+Normalization!G2*Assumptions!$D$10+Normalization!H2*Assumptions!$D$11+Normalization!I2*Assumptions!$D$12+Normalization!J2*Assumptions!$D$13</f>
        <v/>
      </c>
      <c r="F2" s="6">
        <f>Normalization!D2*Assumptions!$E$7+Normalization!E2*Assumptions!$E$8+Normalization!F2*Assumptions!$E$9+Normalization!G2*Assumptions!$E$10+Normalization!H2*Assumptions!$E$11+Normalization!I2*Assumptions!$E$12+Normalization!J2*Assumptions!$E$13</f>
        <v/>
      </c>
      <c r="G2" s="6">
        <f>Normalization!D2*Assumptions!$F$7+Normalization!E2*Assumptions!$F$8+Normalization!F2*Assumptions!$F$9+Normalization!G2*Assumptions!$F$10+Normalization!H2*Assumptions!$F$11+Normalization!I2*Assumptions!$F$12+Normalization!J2*Assumptions!$F$13</f>
        <v/>
      </c>
      <c r="H2">
        <f>SUMPRODUCT(($C$2:$C$81=$C2)*($D$2:$D$81&gt;$D2))+1</f>
        <v/>
      </c>
      <c r="I2">
        <f>SUMPRODUCT(($C$2:$C$81=$C2)*($E$2:$E$81&gt;$E2))+1</f>
        <v/>
      </c>
      <c r="J2">
        <f>SUMPRODUCT(($C$2:$C$81=$C2)*($F$2:$F$81&gt;$F2))+1</f>
        <v/>
      </c>
      <c r="K2">
        <f>SUMPRODUCT(($C$2:$C$81=$C2)*($G$2:$G$81&gt;$G2))+1</f>
        <v/>
      </c>
    </row>
    <row r="3">
      <c r="A3">
        <f>Normalization!A3</f>
        <v/>
      </c>
      <c r="B3">
        <f>Normalization!B3</f>
        <v/>
      </c>
      <c r="C3">
        <f>Normalization!C3</f>
        <v/>
      </c>
      <c r="D3" s="6">
        <f>Normalization!D3*Assumptions!$C$7+Normalization!E3*Assumptions!$C$8+Normalization!F3*Assumptions!$C$9+Normalization!G3*Assumptions!$C$10+Normalization!H3*Assumptions!$C$11+Normalization!I3*Assumptions!$C$12+Normalization!J3*Assumptions!$C$13</f>
        <v/>
      </c>
      <c r="E3" s="6">
        <f>Normalization!D3*Assumptions!$D$7+Normalization!E3*Assumptions!$D$8+Normalization!F3*Assumptions!$D$9+Normalization!G3*Assumptions!$D$10+Normalization!H3*Assumptions!$D$11+Normalization!I3*Assumptions!$D$12+Normalization!J3*Assumptions!$D$13</f>
        <v/>
      </c>
      <c r="F3" s="6">
        <f>Normalization!D3*Assumptions!$E$7+Normalization!E3*Assumptions!$E$8+Normalization!F3*Assumptions!$E$9+Normalization!G3*Assumptions!$E$10+Normalization!H3*Assumptions!$E$11+Normalization!I3*Assumptions!$E$12+Normalization!J3*Assumptions!$E$13</f>
        <v/>
      </c>
      <c r="G3" s="6">
        <f>Normalization!D3*Assumptions!$F$7+Normalization!E3*Assumptions!$F$8+Normalization!F3*Assumptions!$F$9+Normalization!G3*Assumptions!$F$10+Normalization!H3*Assumptions!$F$11+Normalization!I3*Assumptions!$F$12+Normalization!J3*Assumptions!$F$13</f>
        <v/>
      </c>
      <c r="H3">
        <f>SUMPRODUCT(($C$2:$C$81=$C3)*($D$2:$D$81&gt;$D3))+1</f>
        <v/>
      </c>
      <c r="I3">
        <f>SUMPRODUCT(($C$2:$C$81=$C3)*($E$2:$E$81&gt;$E3))+1</f>
        <v/>
      </c>
      <c r="J3">
        <f>SUMPRODUCT(($C$2:$C$81=$C3)*($F$2:$F$81&gt;$F3))+1</f>
        <v/>
      </c>
      <c r="K3">
        <f>SUMPRODUCT(($C$2:$C$81=$C3)*($G$2:$G$81&gt;$G3))+1</f>
        <v/>
      </c>
    </row>
    <row r="4">
      <c r="A4">
        <f>Normalization!A4</f>
        <v/>
      </c>
      <c r="B4">
        <f>Normalization!B4</f>
        <v/>
      </c>
      <c r="C4">
        <f>Normalization!C4</f>
        <v/>
      </c>
      <c r="D4" s="6">
        <f>Normalization!D4*Assumptions!$C$7+Normalization!E4*Assumptions!$C$8+Normalization!F4*Assumptions!$C$9+Normalization!G4*Assumptions!$C$10+Normalization!H4*Assumptions!$C$11+Normalization!I4*Assumptions!$C$12+Normalization!J4*Assumptions!$C$13</f>
        <v/>
      </c>
      <c r="E4" s="6">
        <f>Normalization!D4*Assumptions!$D$7+Normalization!E4*Assumptions!$D$8+Normalization!F4*Assumptions!$D$9+Normalization!G4*Assumptions!$D$10+Normalization!H4*Assumptions!$D$11+Normalization!I4*Assumptions!$D$12+Normalization!J4*Assumptions!$D$13</f>
        <v/>
      </c>
      <c r="F4" s="6">
        <f>Normalization!D4*Assumptions!$E$7+Normalization!E4*Assumptions!$E$8+Normalization!F4*Assumptions!$E$9+Normalization!G4*Assumptions!$E$10+Normalization!H4*Assumptions!$E$11+Normalization!I4*Assumptions!$E$12+Normalization!J4*Assumptions!$E$13</f>
        <v/>
      </c>
      <c r="G4" s="6">
        <f>Normalization!D4*Assumptions!$F$7+Normalization!E4*Assumptions!$F$8+Normalization!F4*Assumptions!$F$9+Normalization!G4*Assumptions!$F$10+Normalization!H4*Assumptions!$F$11+Normalization!I4*Assumptions!$F$12+Normalization!J4*Assumptions!$F$13</f>
        <v/>
      </c>
      <c r="H4">
        <f>SUMPRODUCT(($C$2:$C$81=$C4)*($D$2:$D$81&gt;$D4))+1</f>
        <v/>
      </c>
      <c r="I4">
        <f>SUMPRODUCT(($C$2:$C$81=$C4)*($E$2:$E$81&gt;$E4))+1</f>
        <v/>
      </c>
      <c r="J4">
        <f>SUMPRODUCT(($C$2:$C$81=$C4)*($F$2:$F$81&gt;$F4))+1</f>
        <v/>
      </c>
      <c r="K4">
        <f>SUMPRODUCT(($C$2:$C$81=$C4)*($G$2:$G$81&gt;$G4))+1</f>
        <v/>
      </c>
    </row>
    <row r="5">
      <c r="A5">
        <f>Normalization!A5</f>
        <v/>
      </c>
      <c r="B5">
        <f>Normalization!B5</f>
        <v/>
      </c>
      <c r="C5">
        <f>Normalization!C5</f>
        <v/>
      </c>
      <c r="D5" s="6">
        <f>Normalization!D5*Assumptions!$C$7+Normalization!E5*Assumptions!$C$8+Normalization!F5*Assumptions!$C$9+Normalization!G5*Assumptions!$C$10+Normalization!H5*Assumptions!$C$11+Normalization!I5*Assumptions!$C$12+Normalization!J5*Assumptions!$C$13</f>
        <v/>
      </c>
      <c r="E5" s="6">
        <f>Normalization!D5*Assumptions!$D$7+Normalization!E5*Assumptions!$D$8+Normalization!F5*Assumptions!$D$9+Normalization!G5*Assumptions!$D$10+Normalization!H5*Assumptions!$D$11+Normalization!I5*Assumptions!$D$12+Normalization!J5*Assumptions!$D$13</f>
        <v/>
      </c>
      <c r="F5" s="6">
        <f>Normalization!D5*Assumptions!$E$7+Normalization!E5*Assumptions!$E$8+Normalization!F5*Assumptions!$E$9+Normalization!G5*Assumptions!$E$10+Normalization!H5*Assumptions!$E$11+Normalization!I5*Assumptions!$E$12+Normalization!J5*Assumptions!$E$13</f>
        <v/>
      </c>
      <c r="G5" s="6">
        <f>Normalization!D5*Assumptions!$F$7+Normalization!E5*Assumptions!$F$8+Normalization!F5*Assumptions!$F$9+Normalization!G5*Assumptions!$F$10+Normalization!H5*Assumptions!$F$11+Normalization!I5*Assumptions!$F$12+Normalization!J5*Assumptions!$F$13</f>
        <v/>
      </c>
      <c r="H5">
        <f>SUMPRODUCT(($C$2:$C$81=$C5)*($D$2:$D$81&gt;$D5))+1</f>
        <v/>
      </c>
      <c r="I5">
        <f>SUMPRODUCT(($C$2:$C$81=$C5)*($E$2:$E$81&gt;$E5))+1</f>
        <v/>
      </c>
      <c r="J5">
        <f>SUMPRODUCT(($C$2:$C$81=$C5)*($F$2:$F$81&gt;$F5))+1</f>
        <v/>
      </c>
      <c r="K5">
        <f>SUMPRODUCT(($C$2:$C$81=$C5)*($G$2:$G$81&gt;$G5))+1</f>
        <v/>
      </c>
    </row>
    <row r="6">
      <c r="A6">
        <f>Normalization!A6</f>
        <v/>
      </c>
      <c r="B6">
        <f>Normalization!B6</f>
        <v/>
      </c>
      <c r="C6">
        <f>Normalization!C6</f>
        <v/>
      </c>
      <c r="D6" s="6">
        <f>Normalization!D6*Assumptions!$C$7+Normalization!E6*Assumptions!$C$8+Normalization!F6*Assumptions!$C$9+Normalization!G6*Assumptions!$C$10+Normalization!H6*Assumptions!$C$11+Normalization!I6*Assumptions!$C$12+Normalization!J6*Assumptions!$C$13</f>
        <v/>
      </c>
      <c r="E6" s="6">
        <f>Normalization!D6*Assumptions!$D$7+Normalization!E6*Assumptions!$D$8+Normalization!F6*Assumptions!$D$9+Normalization!G6*Assumptions!$D$10+Normalization!H6*Assumptions!$D$11+Normalization!I6*Assumptions!$D$12+Normalization!J6*Assumptions!$D$13</f>
        <v/>
      </c>
      <c r="F6" s="6">
        <f>Normalization!D6*Assumptions!$E$7+Normalization!E6*Assumptions!$E$8+Normalization!F6*Assumptions!$E$9+Normalization!G6*Assumptions!$E$10+Normalization!H6*Assumptions!$E$11+Normalization!I6*Assumptions!$E$12+Normalization!J6*Assumptions!$E$13</f>
        <v/>
      </c>
      <c r="G6" s="6">
        <f>Normalization!D6*Assumptions!$F$7+Normalization!E6*Assumptions!$F$8+Normalization!F6*Assumptions!$F$9+Normalization!G6*Assumptions!$F$10+Normalization!H6*Assumptions!$F$11+Normalization!I6*Assumptions!$F$12+Normalization!J6*Assumptions!$F$13</f>
        <v/>
      </c>
      <c r="H6">
        <f>SUMPRODUCT(($C$2:$C$81=$C6)*($D$2:$D$81&gt;$D6))+1</f>
        <v/>
      </c>
      <c r="I6">
        <f>SUMPRODUCT(($C$2:$C$81=$C6)*($E$2:$E$81&gt;$E6))+1</f>
        <v/>
      </c>
      <c r="J6">
        <f>SUMPRODUCT(($C$2:$C$81=$C6)*($F$2:$F$81&gt;$F6))+1</f>
        <v/>
      </c>
      <c r="K6">
        <f>SUMPRODUCT(($C$2:$C$81=$C6)*($G$2:$G$81&gt;$G6))+1</f>
        <v/>
      </c>
    </row>
    <row r="7">
      <c r="A7">
        <f>Normalization!A7</f>
        <v/>
      </c>
      <c r="B7">
        <f>Normalization!B7</f>
        <v/>
      </c>
      <c r="C7">
        <f>Normalization!C7</f>
        <v/>
      </c>
      <c r="D7" s="6">
        <f>Normalization!D7*Assumptions!$C$7+Normalization!E7*Assumptions!$C$8+Normalization!F7*Assumptions!$C$9+Normalization!G7*Assumptions!$C$10+Normalization!H7*Assumptions!$C$11+Normalization!I7*Assumptions!$C$12+Normalization!J7*Assumptions!$C$13</f>
        <v/>
      </c>
      <c r="E7" s="6">
        <f>Normalization!D7*Assumptions!$D$7+Normalization!E7*Assumptions!$D$8+Normalization!F7*Assumptions!$D$9+Normalization!G7*Assumptions!$D$10+Normalization!H7*Assumptions!$D$11+Normalization!I7*Assumptions!$D$12+Normalization!J7*Assumptions!$D$13</f>
        <v/>
      </c>
      <c r="F7" s="6">
        <f>Normalization!D7*Assumptions!$E$7+Normalization!E7*Assumptions!$E$8+Normalization!F7*Assumptions!$E$9+Normalization!G7*Assumptions!$E$10+Normalization!H7*Assumptions!$E$11+Normalization!I7*Assumptions!$E$12+Normalization!J7*Assumptions!$E$13</f>
        <v/>
      </c>
      <c r="G7" s="6">
        <f>Normalization!D7*Assumptions!$F$7+Normalization!E7*Assumptions!$F$8+Normalization!F7*Assumptions!$F$9+Normalization!G7*Assumptions!$F$10+Normalization!H7*Assumptions!$F$11+Normalization!I7*Assumptions!$F$12+Normalization!J7*Assumptions!$F$13</f>
        <v/>
      </c>
      <c r="H7">
        <f>SUMPRODUCT(($C$2:$C$81=$C7)*($D$2:$D$81&gt;$D7))+1</f>
        <v/>
      </c>
      <c r="I7">
        <f>SUMPRODUCT(($C$2:$C$81=$C7)*($E$2:$E$81&gt;$E7))+1</f>
        <v/>
      </c>
      <c r="J7">
        <f>SUMPRODUCT(($C$2:$C$81=$C7)*($F$2:$F$81&gt;$F7))+1</f>
        <v/>
      </c>
      <c r="K7">
        <f>SUMPRODUCT(($C$2:$C$81=$C7)*($G$2:$G$81&gt;$G7))+1</f>
        <v/>
      </c>
    </row>
    <row r="8">
      <c r="A8">
        <f>Normalization!A8</f>
        <v/>
      </c>
      <c r="B8">
        <f>Normalization!B8</f>
        <v/>
      </c>
      <c r="C8">
        <f>Normalization!C8</f>
        <v/>
      </c>
      <c r="D8" s="6">
        <f>Normalization!D8*Assumptions!$C$7+Normalization!E8*Assumptions!$C$8+Normalization!F8*Assumptions!$C$9+Normalization!G8*Assumptions!$C$10+Normalization!H8*Assumptions!$C$11+Normalization!I8*Assumptions!$C$12+Normalization!J8*Assumptions!$C$13</f>
        <v/>
      </c>
      <c r="E8" s="6">
        <f>Normalization!D8*Assumptions!$D$7+Normalization!E8*Assumptions!$D$8+Normalization!F8*Assumptions!$D$9+Normalization!G8*Assumptions!$D$10+Normalization!H8*Assumptions!$D$11+Normalization!I8*Assumptions!$D$12+Normalization!J8*Assumptions!$D$13</f>
        <v/>
      </c>
      <c r="F8" s="6">
        <f>Normalization!D8*Assumptions!$E$7+Normalization!E8*Assumptions!$E$8+Normalization!F8*Assumptions!$E$9+Normalization!G8*Assumptions!$E$10+Normalization!H8*Assumptions!$E$11+Normalization!I8*Assumptions!$E$12+Normalization!J8*Assumptions!$E$13</f>
        <v/>
      </c>
      <c r="G8" s="6">
        <f>Normalization!D8*Assumptions!$F$7+Normalization!E8*Assumptions!$F$8+Normalization!F8*Assumptions!$F$9+Normalization!G8*Assumptions!$F$10+Normalization!H8*Assumptions!$F$11+Normalization!I8*Assumptions!$F$12+Normalization!J8*Assumptions!$F$13</f>
        <v/>
      </c>
      <c r="H8">
        <f>SUMPRODUCT(($C$2:$C$81=$C8)*($D$2:$D$81&gt;$D8))+1</f>
        <v/>
      </c>
      <c r="I8">
        <f>SUMPRODUCT(($C$2:$C$81=$C8)*($E$2:$E$81&gt;$E8))+1</f>
        <v/>
      </c>
      <c r="J8">
        <f>SUMPRODUCT(($C$2:$C$81=$C8)*($F$2:$F$81&gt;$F8))+1</f>
        <v/>
      </c>
      <c r="K8">
        <f>SUMPRODUCT(($C$2:$C$81=$C8)*($G$2:$G$81&gt;$G8))+1</f>
        <v/>
      </c>
    </row>
    <row r="9">
      <c r="A9">
        <f>Normalization!A9</f>
        <v/>
      </c>
      <c r="B9">
        <f>Normalization!B9</f>
        <v/>
      </c>
      <c r="C9">
        <f>Normalization!C9</f>
        <v/>
      </c>
      <c r="D9" s="6">
        <f>Normalization!D9*Assumptions!$C$7+Normalization!E9*Assumptions!$C$8+Normalization!F9*Assumptions!$C$9+Normalization!G9*Assumptions!$C$10+Normalization!H9*Assumptions!$C$11+Normalization!I9*Assumptions!$C$12+Normalization!J9*Assumptions!$C$13</f>
        <v/>
      </c>
      <c r="E9" s="6">
        <f>Normalization!D9*Assumptions!$D$7+Normalization!E9*Assumptions!$D$8+Normalization!F9*Assumptions!$D$9+Normalization!G9*Assumptions!$D$10+Normalization!H9*Assumptions!$D$11+Normalization!I9*Assumptions!$D$12+Normalization!J9*Assumptions!$D$13</f>
        <v/>
      </c>
      <c r="F9" s="6">
        <f>Normalization!D9*Assumptions!$E$7+Normalization!E9*Assumptions!$E$8+Normalization!F9*Assumptions!$E$9+Normalization!G9*Assumptions!$E$10+Normalization!H9*Assumptions!$E$11+Normalization!I9*Assumptions!$E$12+Normalization!J9*Assumptions!$E$13</f>
        <v/>
      </c>
      <c r="G9" s="6">
        <f>Normalization!D9*Assumptions!$F$7+Normalization!E9*Assumptions!$F$8+Normalization!F9*Assumptions!$F$9+Normalization!G9*Assumptions!$F$10+Normalization!H9*Assumptions!$F$11+Normalization!I9*Assumptions!$F$12+Normalization!J9*Assumptions!$F$13</f>
        <v/>
      </c>
      <c r="H9">
        <f>SUMPRODUCT(($C$2:$C$81=$C9)*($D$2:$D$81&gt;$D9))+1</f>
        <v/>
      </c>
      <c r="I9">
        <f>SUMPRODUCT(($C$2:$C$81=$C9)*($E$2:$E$81&gt;$E9))+1</f>
        <v/>
      </c>
      <c r="J9">
        <f>SUMPRODUCT(($C$2:$C$81=$C9)*($F$2:$F$81&gt;$F9))+1</f>
        <v/>
      </c>
      <c r="K9">
        <f>SUMPRODUCT(($C$2:$C$81=$C9)*($G$2:$G$81&gt;$G9))+1</f>
        <v/>
      </c>
    </row>
    <row r="10">
      <c r="A10">
        <f>Normalization!A10</f>
        <v/>
      </c>
      <c r="B10">
        <f>Normalization!B10</f>
        <v/>
      </c>
      <c r="C10">
        <f>Normalization!C10</f>
        <v/>
      </c>
      <c r="D10" s="6">
        <f>Normalization!D10*Assumptions!$C$7+Normalization!E10*Assumptions!$C$8+Normalization!F10*Assumptions!$C$9+Normalization!G10*Assumptions!$C$10+Normalization!H10*Assumptions!$C$11+Normalization!I10*Assumptions!$C$12+Normalization!J10*Assumptions!$C$13</f>
        <v/>
      </c>
      <c r="E10" s="6">
        <f>Normalization!D10*Assumptions!$D$7+Normalization!E10*Assumptions!$D$8+Normalization!F10*Assumptions!$D$9+Normalization!G10*Assumptions!$D$10+Normalization!H10*Assumptions!$D$11+Normalization!I10*Assumptions!$D$12+Normalization!J10*Assumptions!$D$13</f>
        <v/>
      </c>
      <c r="F10" s="6">
        <f>Normalization!D10*Assumptions!$E$7+Normalization!E10*Assumptions!$E$8+Normalization!F10*Assumptions!$E$9+Normalization!G10*Assumptions!$E$10+Normalization!H10*Assumptions!$E$11+Normalization!I10*Assumptions!$E$12+Normalization!J10*Assumptions!$E$13</f>
        <v/>
      </c>
      <c r="G10" s="6">
        <f>Normalization!D10*Assumptions!$F$7+Normalization!E10*Assumptions!$F$8+Normalization!F10*Assumptions!$F$9+Normalization!G10*Assumptions!$F$10+Normalization!H10*Assumptions!$F$11+Normalization!I10*Assumptions!$F$12+Normalization!J10*Assumptions!$F$13</f>
        <v/>
      </c>
      <c r="H10">
        <f>SUMPRODUCT(($C$2:$C$81=$C10)*($D$2:$D$81&gt;$D10))+1</f>
        <v/>
      </c>
      <c r="I10">
        <f>SUMPRODUCT(($C$2:$C$81=$C10)*($E$2:$E$81&gt;$E10))+1</f>
        <v/>
      </c>
      <c r="J10">
        <f>SUMPRODUCT(($C$2:$C$81=$C10)*($F$2:$F$81&gt;$F10))+1</f>
        <v/>
      </c>
      <c r="K10">
        <f>SUMPRODUCT(($C$2:$C$81=$C10)*($G$2:$G$81&gt;$G10))+1</f>
        <v/>
      </c>
    </row>
    <row r="11">
      <c r="A11">
        <f>Normalization!A11</f>
        <v/>
      </c>
      <c r="B11">
        <f>Normalization!B11</f>
        <v/>
      </c>
      <c r="C11">
        <f>Normalization!C11</f>
        <v/>
      </c>
      <c r="D11" s="6">
        <f>Normalization!D11*Assumptions!$C$7+Normalization!E11*Assumptions!$C$8+Normalization!F11*Assumptions!$C$9+Normalization!G11*Assumptions!$C$10+Normalization!H11*Assumptions!$C$11+Normalization!I11*Assumptions!$C$12+Normalization!J11*Assumptions!$C$13</f>
        <v/>
      </c>
      <c r="E11" s="6">
        <f>Normalization!D11*Assumptions!$D$7+Normalization!E11*Assumptions!$D$8+Normalization!F11*Assumptions!$D$9+Normalization!G11*Assumptions!$D$10+Normalization!H11*Assumptions!$D$11+Normalization!I11*Assumptions!$D$12+Normalization!J11*Assumptions!$D$13</f>
        <v/>
      </c>
      <c r="F11" s="6">
        <f>Normalization!D11*Assumptions!$E$7+Normalization!E11*Assumptions!$E$8+Normalization!F11*Assumptions!$E$9+Normalization!G11*Assumptions!$E$10+Normalization!H11*Assumptions!$E$11+Normalization!I11*Assumptions!$E$12+Normalization!J11*Assumptions!$E$13</f>
        <v/>
      </c>
      <c r="G11" s="6">
        <f>Normalization!D11*Assumptions!$F$7+Normalization!E11*Assumptions!$F$8+Normalization!F11*Assumptions!$F$9+Normalization!G11*Assumptions!$F$10+Normalization!H11*Assumptions!$F$11+Normalization!I11*Assumptions!$F$12+Normalization!J11*Assumptions!$F$13</f>
        <v/>
      </c>
      <c r="H11">
        <f>SUMPRODUCT(($C$2:$C$81=$C11)*($D$2:$D$81&gt;$D11))+1</f>
        <v/>
      </c>
      <c r="I11">
        <f>SUMPRODUCT(($C$2:$C$81=$C11)*($E$2:$E$81&gt;$E11))+1</f>
        <v/>
      </c>
      <c r="J11">
        <f>SUMPRODUCT(($C$2:$C$81=$C11)*($F$2:$F$81&gt;$F11))+1</f>
        <v/>
      </c>
      <c r="K11">
        <f>SUMPRODUCT(($C$2:$C$81=$C11)*($G$2:$G$81&gt;$G11))+1</f>
        <v/>
      </c>
    </row>
    <row r="12">
      <c r="A12">
        <f>Normalization!A12</f>
        <v/>
      </c>
      <c r="B12">
        <f>Normalization!B12</f>
        <v/>
      </c>
      <c r="C12">
        <f>Normalization!C12</f>
        <v/>
      </c>
      <c r="D12" s="6">
        <f>Normalization!D12*Assumptions!$C$7+Normalization!E12*Assumptions!$C$8+Normalization!F12*Assumptions!$C$9+Normalization!G12*Assumptions!$C$10+Normalization!H12*Assumptions!$C$11+Normalization!I12*Assumptions!$C$12+Normalization!J12*Assumptions!$C$13</f>
        <v/>
      </c>
      <c r="E12" s="6">
        <f>Normalization!D12*Assumptions!$D$7+Normalization!E12*Assumptions!$D$8+Normalization!F12*Assumptions!$D$9+Normalization!G12*Assumptions!$D$10+Normalization!H12*Assumptions!$D$11+Normalization!I12*Assumptions!$D$12+Normalization!J12*Assumptions!$D$13</f>
        <v/>
      </c>
      <c r="F12" s="6">
        <f>Normalization!D12*Assumptions!$E$7+Normalization!E12*Assumptions!$E$8+Normalization!F12*Assumptions!$E$9+Normalization!G12*Assumptions!$E$10+Normalization!H12*Assumptions!$E$11+Normalization!I12*Assumptions!$E$12+Normalization!J12*Assumptions!$E$13</f>
        <v/>
      </c>
      <c r="G12" s="6">
        <f>Normalization!D12*Assumptions!$F$7+Normalization!E12*Assumptions!$F$8+Normalization!F12*Assumptions!$F$9+Normalization!G12*Assumptions!$F$10+Normalization!H12*Assumptions!$F$11+Normalization!I12*Assumptions!$F$12+Normalization!J12*Assumptions!$F$13</f>
        <v/>
      </c>
      <c r="H12">
        <f>SUMPRODUCT(($C$2:$C$81=$C12)*($D$2:$D$81&gt;$D12))+1</f>
        <v/>
      </c>
      <c r="I12">
        <f>SUMPRODUCT(($C$2:$C$81=$C12)*($E$2:$E$81&gt;$E12))+1</f>
        <v/>
      </c>
      <c r="J12">
        <f>SUMPRODUCT(($C$2:$C$81=$C12)*($F$2:$F$81&gt;$F12))+1</f>
        <v/>
      </c>
      <c r="K12">
        <f>SUMPRODUCT(($C$2:$C$81=$C12)*($G$2:$G$81&gt;$G12))+1</f>
        <v/>
      </c>
    </row>
    <row r="13">
      <c r="A13">
        <f>Normalization!A13</f>
        <v/>
      </c>
      <c r="B13">
        <f>Normalization!B13</f>
        <v/>
      </c>
      <c r="C13">
        <f>Normalization!C13</f>
        <v/>
      </c>
      <c r="D13" s="6">
        <f>Normalization!D13*Assumptions!$C$7+Normalization!E13*Assumptions!$C$8+Normalization!F13*Assumptions!$C$9+Normalization!G13*Assumptions!$C$10+Normalization!H13*Assumptions!$C$11+Normalization!I13*Assumptions!$C$12+Normalization!J13*Assumptions!$C$13</f>
        <v/>
      </c>
      <c r="E13" s="6">
        <f>Normalization!D13*Assumptions!$D$7+Normalization!E13*Assumptions!$D$8+Normalization!F13*Assumptions!$D$9+Normalization!G13*Assumptions!$D$10+Normalization!H13*Assumptions!$D$11+Normalization!I13*Assumptions!$D$12+Normalization!J13*Assumptions!$D$13</f>
        <v/>
      </c>
      <c r="F13" s="6">
        <f>Normalization!D13*Assumptions!$E$7+Normalization!E13*Assumptions!$E$8+Normalization!F13*Assumptions!$E$9+Normalization!G13*Assumptions!$E$10+Normalization!H13*Assumptions!$E$11+Normalization!I13*Assumptions!$E$12+Normalization!J13*Assumptions!$E$13</f>
        <v/>
      </c>
      <c r="G13" s="6">
        <f>Normalization!D13*Assumptions!$F$7+Normalization!E13*Assumptions!$F$8+Normalization!F13*Assumptions!$F$9+Normalization!G13*Assumptions!$F$10+Normalization!H13*Assumptions!$F$11+Normalization!I13*Assumptions!$F$12+Normalization!J13*Assumptions!$F$13</f>
        <v/>
      </c>
      <c r="H13">
        <f>SUMPRODUCT(($C$2:$C$81=$C13)*($D$2:$D$81&gt;$D13))+1</f>
        <v/>
      </c>
      <c r="I13">
        <f>SUMPRODUCT(($C$2:$C$81=$C13)*($E$2:$E$81&gt;$E13))+1</f>
        <v/>
      </c>
      <c r="J13">
        <f>SUMPRODUCT(($C$2:$C$81=$C13)*($F$2:$F$81&gt;$F13))+1</f>
        <v/>
      </c>
      <c r="K13">
        <f>SUMPRODUCT(($C$2:$C$81=$C13)*($G$2:$G$81&gt;$G13))+1</f>
        <v/>
      </c>
    </row>
    <row r="14">
      <c r="A14">
        <f>Normalization!A14</f>
        <v/>
      </c>
      <c r="B14">
        <f>Normalization!B14</f>
        <v/>
      </c>
      <c r="C14">
        <f>Normalization!C14</f>
        <v/>
      </c>
      <c r="D14" s="6">
        <f>Normalization!D14*Assumptions!$C$7+Normalization!E14*Assumptions!$C$8+Normalization!F14*Assumptions!$C$9+Normalization!G14*Assumptions!$C$10+Normalization!H14*Assumptions!$C$11+Normalization!I14*Assumptions!$C$12+Normalization!J14*Assumptions!$C$13</f>
        <v/>
      </c>
      <c r="E14" s="6">
        <f>Normalization!D14*Assumptions!$D$7+Normalization!E14*Assumptions!$D$8+Normalization!F14*Assumptions!$D$9+Normalization!G14*Assumptions!$D$10+Normalization!H14*Assumptions!$D$11+Normalization!I14*Assumptions!$D$12+Normalization!J14*Assumptions!$D$13</f>
        <v/>
      </c>
      <c r="F14" s="6">
        <f>Normalization!D14*Assumptions!$E$7+Normalization!E14*Assumptions!$E$8+Normalization!F14*Assumptions!$E$9+Normalization!G14*Assumptions!$E$10+Normalization!H14*Assumptions!$E$11+Normalization!I14*Assumptions!$E$12+Normalization!J14*Assumptions!$E$13</f>
        <v/>
      </c>
      <c r="G14" s="6">
        <f>Normalization!D14*Assumptions!$F$7+Normalization!E14*Assumptions!$F$8+Normalization!F14*Assumptions!$F$9+Normalization!G14*Assumptions!$F$10+Normalization!H14*Assumptions!$F$11+Normalization!I14*Assumptions!$F$12+Normalization!J14*Assumptions!$F$13</f>
        <v/>
      </c>
      <c r="H14">
        <f>SUMPRODUCT(($C$2:$C$81=$C14)*($D$2:$D$81&gt;$D14))+1</f>
        <v/>
      </c>
      <c r="I14">
        <f>SUMPRODUCT(($C$2:$C$81=$C14)*($E$2:$E$81&gt;$E14))+1</f>
        <v/>
      </c>
      <c r="J14">
        <f>SUMPRODUCT(($C$2:$C$81=$C14)*($F$2:$F$81&gt;$F14))+1</f>
        <v/>
      </c>
      <c r="K14">
        <f>SUMPRODUCT(($C$2:$C$81=$C14)*($G$2:$G$81&gt;$G14))+1</f>
        <v/>
      </c>
    </row>
    <row r="15">
      <c r="A15">
        <f>Normalization!A15</f>
        <v/>
      </c>
      <c r="B15">
        <f>Normalization!B15</f>
        <v/>
      </c>
      <c r="C15">
        <f>Normalization!C15</f>
        <v/>
      </c>
      <c r="D15" s="6">
        <f>Normalization!D15*Assumptions!$C$7+Normalization!E15*Assumptions!$C$8+Normalization!F15*Assumptions!$C$9+Normalization!G15*Assumptions!$C$10+Normalization!H15*Assumptions!$C$11+Normalization!I15*Assumptions!$C$12+Normalization!J15*Assumptions!$C$13</f>
        <v/>
      </c>
      <c r="E15" s="6">
        <f>Normalization!D15*Assumptions!$D$7+Normalization!E15*Assumptions!$D$8+Normalization!F15*Assumptions!$D$9+Normalization!G15*Assumptions!$D$10+Normalization!H15*Assumptions!$D$11+Normalization!I15*Assumptions!$D$12+Normalization!J15*Assumptions!$D$13</f>
        <v/>
      </c>
      <c r="F15" s="6">
        <f>Normalization!D15*Assumptions!$E$7+Normalization!E15*Assumptions!$E$8+Normalization!F15*Assumptions!$E$9+Normalization!G15*Assumptions!$E$10+Normalization!H15*Assumptions!$E$11+Normalization!I15*Assumptions!$E$12+Normalization!J15*Assumptions!$E$13</f>
        <v/>
      </c>
      <c r="G15" s="6">
        <f>Normalization!D15*Assumptions!$F$7+Normalization!E15*Assumptions!$F$8+Normalization!F15*Assumptions!$F$9+Normalization!G15*Assumptions!$F$10+Normalization!H15*Assumptions!$F$11+Normalization!I15*Assumptions!$F$12+Normalization!J15*Assumptions!$F$13</f>
        <v/>
      </c>
      <c r="H15">
        <f>SUMPRODUCT(($C$2:$C$81=$C15)*($D$2:$D$81&gt;$D15))+1</f>
        <v/>
      </c>
      <c r="I15">
        <f>SUMPRODUCT(($C$2:$C$81=$C15)*($E$2:$E$81&gt;$E15))+1</f>
        <v/>
      </c>
      <c r="J15">
        <f>SUMPRODUCT(($C$2:$C$81=$C15)*($F$2:$F$81&gt;$F15))+1</f>
        <v/>
      </c>
      <c r="K15">
        <f>SUMPRODUCT(($C$2:$C$81=$C15)*($G$2:$G$81&gt;$G15))+1</f>
        <v/>
      </c>
    </row>
    <row r="16">
      <c r="A16">
        <f>Normalization!A16</f>
        <v/>
      </c>
      <c r="B16">
        <f>Normalization!B16</f>
        <v/>
      </c>
      <c r="C16">
        <f>Normalization!C16</f>
        <v/>
      </c>
      <c r="D16" s="6">
        <f>Normalization!D16*Assumptions!$C$7+Normalization!E16*Assumptions!$C$8+Normalization!F16*Assumptions!$C$9+Normalization!G16*Assumptions!$C$10+Normalization!H16*Assumptions!$C$11+Normalization!I16*Assumptions!$C$12+Normalization!J16*Assumptions!$C$13</f>
        <v/>
      </c>
      <c r="E16" s="6">
        <f>Normalization!D16*Assumptions!$D$7+Normalization!E16*Assumptions!$D$8+Normalization!F16*Assumptions!$D$9+Normalization!G16*Assumptions!$D$10+Normalization!H16*Assumptions!$D$11+Normalization!I16*Assumptions!$D$12+Normalization!J16*Assumptions!$D$13</f>
        <v/>
      </c>
      <c r="F16" s="6">
        <f>Normalization!D16*Assumptions!$E$7+Normalization!E16*Assumptions!$E$8+Normalization!F16*Assumptions!$E$9+Normalization!G16*Assumptions!$E$10+Normalization!H16*Assumptions!$E$11+Normalization!I16*Assumptions!$E$12+Normalization!J16*Assumptions!$E$13</f>
        <v/>
      </c>
      <c r="G16" s="6">
        <f>Normalization!D16*Assumptions!$F$7+Normalization!E16*Assumptions!$F$8+Normalization!F16*Assumptions!$F$9+Normalization!G16*Assumptions!$F$10+Normalization!H16*Assumptions!$F$11+Normalization!I16*Assumptions!$F$12+Normalization!J16*Assumptions!$F$13</f>
        <v/>
      </c>
      <c r="H16">
        <f>SUMPRODUCT(($C$2:$C$81=$C16)*($D$2:$D$81&gt;$D16))+1</f>
        <v/>
      </c>
      <c r="I16">
        <f>SUMPRODUCT(($C$2:$C$81=$C16)*($E$2:$E$81&gt;$E16))+1</f>
        <v/>
      </c>
      <c r="J16">
        <f>SUMPRODUCT(($C$2:$C$81=$C16)*($F$2:$F$81&gt;$F16))+1</f>
        <v/>
      </c>
      <c r="K16">
        <f>SUMPRODUCT(($C$2:$C$81=$C16)*($G$2:$G$81&gt;$G16))+1</f>
        <v/>
      </c>
    </row>
    <row r="17">
      <c r="A17">
        <f>Normalization!A17</f>
        <v/>
      </c>
      <c r="B17">
        <f>Normalization!B17</f>
        <v/>
      </c>
      <c r="C17">
        <f>Normalization!C17</f>
        <v/>
      </c>
      <c r="D17" s="6">
        <f>Normalization!D17*Assumptions!$C$7+Normalization!E17*Assumptions!$C$8+Normalization!F17*Assumptions!$C$9+Normalization!G17*Assumptions!$C$10+Normalization!H17*Assumptions!$C$11+Normalization!I17*Assumptions!$C$12+Normalization!J17*Assumptions!$C$13</f>
        <v/>
      </c>
      <c r="E17" s="6">
        <f>Normalization!D17*Assumptions!$D$7+Normalization!E17*Assumptions!$D$8+Normalization!F17*Assumptions!$D$9+Normalization!G17*Assumptions!$D$10+Normalization!H17*Assumptions!$D$11+Normalization!I17*Assumptions!$D$12+Normalization!J17*Assumptions!$D$13</f>
        <v/>
      </c>
      <c r="F17" s="6">
        <f>Normalization!D17*Assumptions!$E$7+Normalization!E17*Assumptions!$E$8+Normalization!F17*Assumptions!$E$9+Normalization!G17*Assumptions!$E$10+Normalization!H17*Assumptions!$E$11+Normalization!I17*Assumptions!$E$12+Normalization!J17*Assumptions!$E$13</f>
        <v/>
      </c>
      <c r="G17" s="6">
        <f>Normalization!D17*Assumptions!$F$7+Normalization!E17*Assumptions!$F$8+Normalization!F17*Assumptions!$F$9+Normalization!G17*Assumptions!$F$10+Normalization!H17*Assumptions!$F$11+Normalization!I17*Assumptions!$F$12+Normalization!J17*Assumptions!$F$13</f>
        <v/>
      </c>
      <c r="H17">
        <f>SUMPRODUCT(($C$2:$C$81=$C17)*($D$2:$D$81&gt;$D17))+1</f>
        <v/>
      </c>
      <c r="I17">
        <f>SUMPRODUCT(($C$2:$C$81=$C17)*($E$2:$E$81&gt;$E17))+1</f>
        <v/>
      </c>
      <c r="J17">
        <f>SUMPRODUCT(($C$2:$C$81=$C17)*($F$2:$F$81&gt;$F17))+1</f>
        <v/>
      </c>
      <c r="K17">
        <f>SUMPRODUCT(($C$2:$C$81=$C17)*($G$2:$G$81&gt;$G17))+1</f>
        <v/>
      </c>
    </row>
    <row r="18">
      <c r="A18">
        <f>Normalization!A18</f>
        <v/>
      </c>
      <c r="B18">
        <f>Normalization!B18</f>
        <v/>
      </c>
      <c r="C18">
        <f>Normalization!C18</f>
        <v/>
      </c>
      <c r="D18" s="6">
        <f>Normalization!D18*Assumptions!$C$7+Normalization!E18*Assumptions!$C$8+Normalization!F18*Assumptions!$C$9+Normalization!G18*Assumptions!$C$10+Normalization!H18*Assumptions!$C$11+Normalization!I18*Assumptions!$C$12+Normalization!J18*Assumptions!$C$13</f>
        <v/>
      </c>
      <c r="E18" s="6">
        <f>Normalization!D18*Assumptions!$D$7+Normalization!E18*Assumptions!$D$8+Normalization!F18*Assumptions!$D$9+Normalization!G18*Assumptions!$D$10+Normalization!H18*Assumptions!$D$11+Normalization!I18*Assumptions!$D$12+Normalization!J18*Assumptions!$D$13</f>
        <v/>
      </c>
      <c r="F18" s="6">
        <f>Normalization!D18*Assumptions!$E$7+Normalization!E18*Assumptions!$E$8+Normalization!F18*Assumptions!$E$9+Normalization!G18*Assumptions!$E$10+Normalization!H18*Assumptions!$E$11+Normalization!I18*Assumptions!$E$12+Normalization!J18*Assumptions!$E$13</f>
        <v/>
      </c>
      <c r="G18" s="6">
        <f>Normalization!D18*Assumptions!$F$7+Normalization!E18*Assumptions!$F$8+Normalization!F18*Assumptions!$F$9+Normalization!G18*Assumptions!$F$10+Normalization!H18*Assumptions!$F$11+Normalization!I18*Assumptions!$F$12+Normalization!J18*Assumptions!$F$13</f>
        <v/>
      </c>
      <c r="H18">
        <f>SUMPRODUCT(($C$2:$C$81=$C18)*($D$2:$D$81&gt;$D18))+1</f>
        <v/>
      </c>
      <c r="I18">
        <f>SUMPRODUCT(($C$2:$C$81=$C18)*($E$2:$E$81&gt;$E18))+1</f>
        <v/>
      </c>
      <c r="J18">
        <f>SUMPRODUCT(($C$2:$C$81=$C18)*($F$2:$F$81&gt;$F18))+1</f>
        <v/>
      </c>
      <c r="K18">
        <f>SUMPRODUCT(($C$2:$C$81=$C18)*($G$2:$G$81&gt;$G18))+1</f>
        <v/>
      </c>
    </row>
    <row r="19">
      <c r="A19">
        <f>Normalization!A19</f>
        <v/>
      </c>
      <c r="B19">
        <f>Normalization!B19</f>
        <v/>
      </c>
      <c r="C19">
        <f>Normalization!C19</f>
        <v/>
      </c>
      <c r="D19" s="6">
        <f>Normalization!D19*Assumptions!$C$7+Normalization!E19*Assumptions!$C$8+Normalization!F19*Assumptions!$C$9+Normalization!G19*Assumptions!$C$10+Normalization!H19*Assumptions!$C$11+Normalization!I19*Assumptions!$C$12+Normalization!J19*Assumptions!$C$13</f>
        <v/>
      </c>
      <c r="E19" s="6">
        <f>Normalization!D19*Assumptions!$D$7+Normalization!E19*Assumptions!$D$8+Normalization!F19*Assumptions!$D$9+Normalization!G19*Assumptions!$D$10+Normalization!H19*Assumptions!$D$11+Normalization!I19*Assumptions!$D$12+Normalization!J19*Assumptions!$D$13</f>
        <v/>
      </c>
      <c r="F19" s="6">
        <f>Normalization!D19*Assumptions!$E$7+Normalization!E19*Assumptions!$E$8+Normalization!F19*Assumptions!$E$9+Normalization!G19*Assumptions!$E$10+Normalization!H19*Assumptions!$E$11+Normalization!I19*Assumptions!$E$12+Normalization!J19*Assumptions!$E$13</f>
        <v/>
      </c>
      <c r="G19" s="6">
        <f>Normalization!D19*Assumptions!$F$7+Normalization!E19*Assumptions!$F$8+Normalization!F19*Assumptions!$F$9+Normalization!G19*Assumptions!$F$10+Normalization!H19*Assumptions!$F$11+Normalization!I19*Assumptions!$F$12+Normalization!J19*Assumptions!$F$13</f>
        <v/>
      </c>
      <c r="H19">
        <f>SUMPRODUCT(($C$2:$C$81=$C19)*($D$2:$D$81&gt;$D19))+1</f>
        <v/>
      </c>
      <c r="I19">
        <f>SUMPRODUCT(($C$2:$C$81=$C19)*($E$2:$E$81&gt;$E19))+1</f>
        <v/>
      </c>
      <c r="J19">
        <f>SUMPRODUCT(($C$2:$C$81=$C19)*($F$2:$F$81&gt;$F19))+1</f>
        <v/>
      </c>
      <c r="K19">
        <f>SUMPRODUCT(($C$2:$C$81=$C19)*($G$2:$G$81&gt;$G19))+1</f>
        <v/>
      </c>
    </row>
    <row r="20">
      <c r="A20">
        <f>Normalization!A20</f>
        <v/>
      </c>
      <c r="B20">
        <f>Normalization!B20</f>
        <v/>
      </c>
      <c r="C20">
        <f>Normalization!C20</f>
        <v/>
      </c>
      <c r="D20" s="6">
        <f>Normalization!D20*Assumptions!$C$7+Normalization!E20*Assumptions!$C$8+Normalization!F20*Assumptions!$C$9+Normalization!G20*Assumptions!$C$10+Normalization!H20*Assumptions!$C$11+Normalization!I20*Assumptions!$C$12+Normalization!J20*Assumptions!$C$13</f>
        <v/>
      </c>
      <c r="E20" s="6">
        <f>Normalization!D20*Assumptions!$D$7+Normalization!E20*Assumptions!$D$8+Normalization!F20*Assumptions!$D$9+Normalization!G20*Assumptions!$D$10+Normalization!H20*Assumptions!$D$11+Normalization!I20*Assumptions!$D$12+Normalization!J20*Assumptions!$D$13</f>
        <v/>
      </c>
      <c r="F20" s="6">
        <f>Normalization!D20*Assumptions!$E$7+Normalization!E20*Assumptions!$E$8+Normalization!F20*Assumptions!$E$9+Normalization!G20*Assumptions!$E$10+Normalization!H20*Assumptions!$E$11+Normalization!I20*Assumptions!$E$12+Normalization!J20*Assumptions!$E$13</f>
        <v/>
      </c>
      <c r="G20" s="6">
        <f>Normalization!D20*Assumptions!$F$7+Normalization!E20*Assumptions!$F$8+Normalization!F20*Assumptions!$F$9+Normalization!G20*Assumptions!$F$10+Normalization!H20*Assumptions!$F$11+Normalization!I20*Assumptions!$F$12+Normalization!J20*Assumptions!$F$13</f>
        <v/>
      </c>
      <c r="H20">
        <f>SUMPRODUCT(($C$2:$C$81=$C20)*($D$2:$D$81&gt;$D20))+1</f>
        <v/>
      </c>
      <c r="I20">
        <f>SUMPRODUCT(($C$2:$C$81=$C20)*($E$2:$E$81&gt;$E20))+1</f>
        <v/>
      </c>
      <c r="J20">
        <f>SUMPRODUCT(($C$2:$C$81=$C20)*($F$2:$F$81&gt;$F20))+1</f>
        <v/>
      </c>
      <c r="K20">
        <f>SUMPRODUCT(($C$2:$C$81=$C20)*($G$2:$G$81&gt;$G20))+1</f>
        <v/>
      </c>
    </row>
    <row r="21">
      <c r="A21">
        <f>Normalization!A21</f>
        <v/>
      </c>
      <c r="B21">
        <f>Normalization!B21</f>
        <v/>
      </c>
      <c r="C21">
        <f>Normalization!C21</f>
        <v/>
      </c>
      <c r="D21" s="6">
        <f>Normalization!D21*Assumptions!$C$7+Normalization!E21*Assumptions!$C$8+Normalization!F21*Assumptions!$C$9+Normalization!G21*Assumptions!$C$10+Normalization!H21*Assumptions!$C$11+Normalization!I21*Assumptions!$C$12+Normalization!J21*Assumptions!$C$13</f>
        <v/>
      </c>
      <c r="E21" s="6">
        <f>Normalization!D21*Assumptions!$D$7+Normalization!E21*Assumptions!$D$8+Normalization!F21*Assumptions!$D$9+Normalization!G21*Assumptions!$D$10+Normalization!H21*Assumptions!$D$11+Normalization!I21*Assumptions!$D$12+Normalization!J21*Assumptions!$D$13</f>
        <v/>
      </c>
      <c r="F21" s="6">
        <f>Normalization!D21*Assumptions!$E$7+Normalization!E21*Assumptions!$E$8+Normalization!F21*Assumptions!$E$9+Normalization!G21*Assumptions!$E$10+Normalization!H21*Assumptions!$E$11+Normalization!I21*Assumptions!$E$12+Normalization!J21*Assumptions!$E$13</f>
        <v/>
      </c>
      <c r="G21" s="6">
        <f>Normalization!D21*Assumptions!$F$7+Normalization!E21*Assumptions!$F$8+Normalization!F21*Assumptions!$F$9+Normalization!G21*Assumptions!$F$10+Normalization!H21*Assumptions!$F$11+Normalization!I21*Assumptions!$F$12+Normalization!J21*Assumptions!$F$13</f>
        <v/>
      </c>
      <c r="H21">
        <f>SUMPRODUCT(($C$2:$C$81=$C21)*($D$2:$D$81&gt;$D21))+1</f>
        <v/>
      </c>
      <c r="I21">
        <f>SUMPRODUCT(($C$2:$C$81=$C21)*($E$2:$E$81&gt;$E21))+1</f>
        <v/>
      </c>
      <c r="J21">
        <f>SUMPRODUCT(($C$2:$C$81=$C21)*($F$2:$F$81&gt;$F21))+1</f>
        <v/>
      </c>
      <c r="K21">
        <f>SUMPRODUCT(($C$2:$C$81=$C21)*($G$2:$G$81&gt;$G21))+1</f>
        <v/>
      </c>
    </row>
    <row r="22">
      <c r="A22">
        <f>Normalization!A22</f>
        <v/>
      </c>
      <c r="B22">
        <f>Normalization!B22</f>
        <v/>
      </c>
      <c r="C22">
        <f>Normalization!C22</f>
        <v/>
      </c>
      <c r="D22" s="6">
        <f>Normalization!D22*Assumptions!$C$7+Normalization!E22*Assumptions!$C$8+Normalization!F22*Assumptions!$C$9+Normalization!G22*Assumptions!$C$10+Normalization!H22*Assumptions!$C$11+Normalization!I22*Assumptions!$C$12+Normalization!J22*Assumptions!$C$13</f>
        <v/>
      </c>
      <c r="E22" s="6">
        <f>Normalization!D22*Assumptions!$D$7+Normalization!E22*Assumptions!$D$8+Normalization!F22*Assumptions!$D$9+Normalization!G22*Assumptions!$D$10+Normalization!H22*Assumptions!$D$11+Normalization!I22*Assumptions!$D$12+Normalization!J22*Assumptions!$D$13</f>
        <v/>
      </c>
      <c r="F22" s="6">
        <f>Normalization!D22*Assumptions!$E$7+Normalization!E22*Assumptions!$E$8+Normalization!F22*Assumptions!$E$9+Normalization!G22*Assumptions!$E$10+Normalization!H22*Assumptions!$E$11+Normalization!I22*Assumptions!$E$12+Normalization!J22*Assumptions!$E$13</f>
        <v/>
      </c>
      <c r="G22" s="6">
        <f>Normalization!D22*Assumptions!$F$7+Normalization!E22*Assumptions!$F$8+Normalization!F22*Assumptions!$F$9+Normalization!G22*Assumptions!$F$10+Normalization!H22*Assumptions!$F$11+Normalization!I22*Assumptions!$F$12+Normalization!J22*Assumptions!$F$13</f>
        <v/>
      </c>
      <c r="H22">
        <f>SUMPRODUCT(($C$2:$C$81=$C22)*($D$2:$D$81&gt;$D22))+1</f>
        <v/>
      </c>
      <c r="I22">
        <f>SUMPRODUCT(($C$2:$C$81=$C22)*($E$2:$E$81&gt;$E22))+1</f>
        <v/>
      </c>
      <c r="J22">
        <f>SUMPRODUCT(($C$2:$C$81=$C22)*($F$2:$F$81&gt;$F22))+1</f>
        <v/>
      </c>
      <c r="K22">
        <f>SUMPRODUCT(($C$2:$C$81=$C22)*($G$2:$G$81&gt;$G22))+1</f>
        <v/>
      </c>
    </row>
    <row r="23">
      <c r="A23">
        <f>Normalization!A23</f>
        <v/>
      </c>
      <c r="B23">
        <f>Normalization!B23</f>
        <v/>
      </c>
      <c r="C23">
        <f>Normalization!C23</f>
        <v/>
      </c>
      <c r="D23" s="6">
        <f>Normalization!D23*Assumptions!$C$7+Normalization!E23*Assumptions!$C$8+Normalization!F23*Assumptions!$C$9+Normalization!G23*Assumptions!$C$10+Normalization!H23*Assumptions!$C$11+Normalization!I23*Assumptions!$C$12+Normalization!J23*Assumptions!$C$13</f>
        <v/>
      </c>
      <c r="E23" s="6">
        <f>Normalization!D23*Assumptions!$D$7+Normalization!E23*Assumptions!$D$8+Normalization!F23*Assumptions!$D$9+Normalization!G23*Assumptions!$D$10+Normalization!H23*Assumptions!$D$11+Normalization!I23*Assumptions!$D$12+Normalization!J23*Assumptions!$D$13</f>
        <v/>
      </c>
      <c r="F23" s="6">
        <f>Normalization!D23*Assumptions!$E$7+Normalization!E23*Assumptions!$E$8+Normalization!F23*Assumptions!$E$9+Normalization!G23*Assumptions!$E$10+Normalization!H23*Assumptions!$E$11+Normalization!I23*Assumptions!$E$12+Normalization!J23*Assumptions!$E$13</f>
        <v/>
      </c>
      <c r="G23" s="6">
        <f>Normalization!D23*Assumptions!$F$7+Normalization!E23*Assumptions!$F$8+Normalization!F23*Assumptions!$F$9+Normalization!G23*Assumptions!$F$10+Normalization!H23*Assumptions!$F$11+Normalization!I23*Assumptions!$F$12+Normalization!J23*Assumptions!$F$13</f>
        <v/>
      </c>
      <c r="H23">
        <f>SUMPRODUCT(($C$2:$C$81=$C23)*($D$2:$D$81&gt;$D23))+1</f>
        <v/>
      </c>
      <c r="I23">
        <f>SUMPRODUCT(($C$2:$C$81=$C23)*($E$2:$E$81&gt;$E23))+1</f>
        <v/>
      </c>
      <c r="J23">
        <f>SUMPRODUCT(($C$2:$C$81=$C23)*($F$2:$F$81&gt;$F23))+1</f>
        <v/>
      </c>
      <c r="K23">
        <f>SUMPRODUCT(($C$2:$C$81=$C23)*($G$2:$G$81&gt;$G23))+1</f>
        <v/>
      </c>
    </row>
    <row r="24">
      <c r="A24">
        <f>Normalization!A24</f>
        <v/>
      </c>
      <c r="B24">
        <f>Normalization!B24</f>
        <v/>
      </c>
      <c r="C24">
        <f>Normalization!C24</f>
        <v/>
      </c>
      <c r="D24" s="6">
        <f>Normalization!D24*Assumptions!$C$7+Normalization!E24*Assumptions!$C$8+Normalization!F24*Assumptions!$C$9+Normalization!G24*Assumptions!$C$10+Normalization!H24*Assumptions!$C$11+Normalization!I24*Assumptions!$C$12+Normalization!J24*Assumptions!$C$13</f>
        <v/>
      </c>
      <c r="E24" s="6">
        <f>Normalization!D24*Assumptions!$D$7+Normalization!E24*Assumptions!$D$8+Normalization!F24*Assumptions!$D$9+Normalization!G24*Assumptions!$D$10+Normalization!H24*Assumptions!$D$11+Normalization!I24*Assumptions!$D$12+Normalization!J24*Assumptions!$D$13</f>
        <v/>
      </c>
      <c r="F24" s="6">
        <f>Normalization!D24*Assumptions!$E$7+Normalization!E24*Assumptions!$E$8+Normalization!F24*Assumptions!$E$9+Normalization!G24*Assumptions!$E$10+Normalization!H24*Assumptions!$E$11+Normalization!I24*Assumptions!$E$12+Normalization!J24*Assumptions!$E$13</f>
        <v/>
      </c>
      <c r="G24" s="6">
        <f>Normalization!D24*Assumptions!$F$7+Normalization!E24*Assumptions!$F$8+Normalization!F24*Assumptions!$F$9+Normalization!G24*Assumptions!$F$10+Normalization!H24*Assumptions!$F$11+Normalization!I24*Assumptions!$F$12+Normalization!J24*Assumptions!$F$13</f>
        <v/>
      </c>
      <c r="H24">
        <f>SUMPRODUCT(($C$2:$C$81=$C24)*($D$2:$D$81&gt;$D24))+1</f>
        <v/>
      </c>
      <c r="I24">
        <f>SUMPRODUCT(($C$2:$C$81=$C24)*($E$2:$E$81&gt;$E24))+1</f>
        <v/>
      </c>
      <c r="J24">
        <f>SUMPRODUCT(($C$2:$C$81=$C24)*($F$2:$F$81&gt;$F24))+1</f>
        <v/>
      </c>
      <c r="K24">
        <f>SUMPRODUCT(($C$2:$C$81=$C24)*($G$2:$G$81&gt;$G24))+1</f>
        <v/>
      </c>
    </row>
    <row r="25">
      <c r="A25">
        <f>Normalization!A25</f>
        <v/>
      </c>
      <c r="B25">
        <f>Normalization!B25</f>
        <v/>
      </c>
      <c r="C25">
        <f>Normalization!C25</f>
        <v/>
      </c>
      <c r="D25" s="6">
        <f>Normalization!D25*Assumptions!$C$7+Normalization!E25*Assumptions!$C$8+Normalization!F25*Assumptions!$C$9+Normalization!G25*Assumptions!$C$10+Normalization!H25*Assumptions!$C$11+Normalization!I25*Assumptions!$C$12+Normalization!J25*Assumptions!$C$13</f>
        <v/>
      </c>
      <c r="E25" s="6">
        <f>Normalization!D25*Assumptions!$D$7+Normalization!E25*Assumptions!$D$8+Normalization!F25*Assumptions!$D$9+Normalization!G25*Assumptions!$D$10+Normalization!H25*Assumptions!$D$11+Normalization!I25*Assumptions!$D$12+Normalization!J25*Assumptions!$D$13</f>
        <v/>
      </c>
      <c r="F25" s="6">
        <f>Normalization!D25*Assumptions!$E$7+Normalization!E25*Assumptions!$E$8+Normalization!F25*Assumptions!$E$9+Normalization!G25*Assumptions!$E$10+Normalization!H25*Assumptions!$E$11+Normalization!I25*Assumptions!$E$12+Normalization!J25*Assumptions!$E$13</f>
        <v/>
      </c>
      <c r="G25" s="6">
        <f>Normalization!D25*Assumptions!$F$7+Normalization!E25*Assumptions!$F$8+Normalization!F25*Assumptions!$F$9+Normalization!G25*Assumptions!$F$10+Normalization!H25*Assumptions!$F$11+Normalization!I25*Assumptions!$F$12+Normalization!J25*Assumptions!$F$13</f>
        <v/>
      </c>
      <c r="H25">
        <f>SUMPRODUCT(($C$2:$C$81=$C25)*($D$2:$D$81&gt;$D25))+1</f>
        <v/>
      </c>
      <c r="I25">
        <f>SUMPRODUCT(($C$2:$C$81=$C25)*($E$2:$E$81&gt;$E25))+1</f>
        <v/>
      </c>
      <c r="J25">
        <f>SUMPRODUCT(($C$2:$C$81=$C25)*($F$2:$F$81&gt;$F25))+1</f>
        <v/>
      </c>
      <c r="K25">
        <f>SUMPRODUCT(($C$2:$C$81=$C25)*($G$2:$G$81&gt;$G25))+1</f>
        <v/>
      </c>
    </row>
    <row r="26">
      <c r="A26">
        <f>Normalization!A26</f>
        <v/>
      </c>
      <c r="B26">
        <f>Normalization!B26</f>
        <v/>
      </c>
      <c r="C26">
        <f>Normalization!C26</f>
        <v/>
      </c>
      <c r="D26" s="6">
        <f>Normalization!D26*Assumptions!$C$7+Normalization!E26*Assumptions!$C$8+Normalization!F26*Assumptions!$C$9+Normalization!G26*Assumptions!$C$10+Normalization!H26*Assumptions!$C$11+Normalization!I26*Assumptions!$C$12+Normalization!J26*Assumptions!$C$13</f>
        <v/>
      </c>
      <c r="E26" s="6">
        <f>Normalization!D26*Assumptions!$D$7+Normalization!E26*Assumptions!$D$8+Normalization!F26*Assumptions!$D$9+Normalization!G26*Assumptions!$D$10+Normalization!H26*Assumptions!$D$11+Normalization!I26*Assumptions!$D$12+Normalization!J26*Assumptions!$D$13</f>
        <v/>
      </c>
      <c r="F26" s="6">
        <f>Normalization!D26*Assumptions!$E$7+Normalization!E26*Assumptions!$E$8+Normalization!F26*Assumptions!$E$9+Normalization!G26*Assumptions!$E$10+Normalization!H26*Assumptions!$E$11+Normalization!I26*Assumptions!$E$12+Normalization!J26*Assumptions!$E$13</f>
        <v/>
      </c>
      <c r="G26" s="6">
        <f>Normalization!D26*Assumptions!$F$7+Normalization!E26*Assumptions!$F$8+Normalization!F26*Assumptions!$F$9+Normalization!G26*Assumptions!$F$10+Normalization!H26*Assumptions!$F$11+Normalization!I26*Assumptions!$F$12+Normalization!J26*Assumptions!$F$13</f>
        <v/>
      </c>
      <c r="H26">
        <f>SUMPRODUCT(($C$2:$C$81=$C26)*($D$2:$D$81&gt;$D26))+1</f>
        <v/>
      </c>
      <c r="I26">
        <f>SUMPRODUCT(($C$2:$C$81=$C26)*($E$2:$E$81&gt;$E26))+1</f>
        <v/>
      </c>
      <c r="J26">
        <f>SUMPRODUCT(($C$2:$C$81=$C26)*($F$2:$F$81&gt;$F26))+1</f>
        <v/>
      </c>
      <c r="K26">
        <f>SUMPRODUCT(($C$2:$C$81=$C26)*($G$2:$G$81&gt;$G26))+1</f>
        <v/>
      </c>
    </row>
    <row r="27">
      <c r="A27">
        <f>Normalization!A27</f>
        <v/>
      </c>
      <c r="B27">
        <f>Normalization!B27</f>
        <v/>
      </c>
      <c r="C27">
        <f>Normalization!C27</f>
        <v/>
      </c>
      <c r="D27" s="6">
        <f>Normalization!D27*Assumptions!$C$7+Normalization!E27*Assumptions!$C$8+Normalization!F27*Assumptions!$C$9+Normalization!G27*Assumptions!$C$10+Normalization!H27*Assumptions!$C$11+Normalization!I27*Assumptions!$C$12+Normalization!J27*Assumptions!$C$13</f>
        <v/>
      </c>
      <c r="E27" s="6">
        <f>Normalization!D27*Assumptions!$D$7+Normalization!E27*Assumptions!$D$8+Normalization!F27*Assumptions!$D$9+Normalization!G27*Assumptions!$D$10+Normalization!H27*Assumptions!$D$11+Normalization!I27*Assumptions!$D$12+Normalization!J27*Assumptions!$D$13</f>
        <v/>
      </c>
      <c r="F27" s="6">
        <f>Normalization!D27*Assumptions!$E$7+Normalization!E27*Assumptions!$E$8+Normalization!F27*Assumptions!$E$9+Normalization!G27*Assumptions!$E$10+Normalization!H27*Assumptions!$E$11+Normalization!I27*Assumptions!$E$12+Normalization!J27*Assumptions!$E$13</f>
        <v/>
      </c>
      <c r="G27" s="6">
        <f>Normalization!D27*Assumptions!$F$7+Normalization!E27*Assumptions!$F$8+Normalization!F27*Assumptions!$F$9+Normalization!G27*Assumptions!$F$10+Normalization!H27*Assumptions!$F$11+Normalization!I27*Assumptions!$F$12+Normalization!J27*Assumptions!$F$13</f>
        <v/>
      </c>
      <c r="H27">
        <f>SUMPRODUCT(($C$2:$C$81=$C27)*($D$2:$D$81&gt;$D27))+1</f>
        <v/>
      </c>
      <c r="I27">
        <f>SUMPRODUCT(($C$2:$C$81=$C27)*($E$2:$E$81&gt;$E27))+1</f>
        <v/>
      </c>
      <c r="J27">
        <f>SUMPRODUCT(($C$2:$C$81=$C27)*($F$2:$F$81&gt;$F27))+1</f>
        <v/>
      </c>
      <c r="K27">
        <f>SUMPRODUCT(($C$2:$C$81=$C27)*($G$2:$G$81&gt;$G27))+1</f>
        <v/>
      </c>
    </row>
    <row r="28">
      <c r="A28">
        <f>Normalization!A28</f>
        <v/>
      </c>
      <c r="B28">
        <f>Normalization!B28</f>
        <v/>
      </c>
      <c r="C28">
        <f>Normalization!C28</f>
        <v/>
      </c>
      <c r="D28" s="6">
        <f>Normalization!D28*Assumptions!$C$7+Normalization!E28*Assumptions!$C$8+Normalization!F28*Assumptions!$C$9+Normalization!G28*Assumptions!$C$10+Normalization!H28*Assumptions!$C$11+Normalization!I28*Assumptions!$C$12+Normalization!J28*Assumptions!$C$13</f>
        <v/>
      </c>
      <c r="E28" s="6">
        <f>Normalization!D28*Assumptions!$D$7+Normalization!E28*Assumptions!$D$8+Normalization!F28*Assumptions!$D$9+Normalization!G28*Assumptions!$D$10+Normalization!H28*Assumptions!$D$11+Normalization!I28*Assumptions!$D$12+Normalization!J28*Assumptions!$D$13</f>
        <v/>
      </c>
      <c r="F28" s="6">
        <f>Normalization!D28*Assumptions!$E$7+Normalization!E28*Assumptions!$E$8+Normalization!F28*Assumptions!$E$9+Normalization!G28*Assumptions!$E$10+Normalization!H28*Assumptions!$E$11+Normalization!I28*Assumptions!$E$12+Normalization!J28*Assumptions!$E$13</f>
        <v/>
      </c>
      <c r="G28" s="6">
        <f>Normalization!D28*Assumptions!$F$7+Normalization!E28*Assumptions!$F$8+Normalization!F28*Assumptions!$F$9+Normalization!G28*Assumptions!$F$10+Normalization!H28*Assumptions!$F$11+Normalization!I28*Assumptions!$F$12+Normalization!J28*Assumptions!$F$13</f>
        <v/>
      </c>
      <c r="H28">
        <f>SUMPRODUCT(($C$2:$C$81=$C28)*($D$2:$D$81&gt;$D28))+1</f>
        <v/>
      </c>
      <c r="I28">
        <f>SUMPRODUCT(($C$2:$C$81=$C28)*($E$2:$E$81&gt;$E28))+1</f>
        <v/>
      </c>
      <c r="J28">
        <f>SUMPRODUCT(($C$2:$C$81=$C28)*($F$2:$F$81&gt;$F28))+1</f>
        <v/>
      </c>
      <c r="K28">
        <f>SUMPRODUCT(($C$2:$C$81=$C28)*($G$2:$G$81&gt;$G28))+1</f>
        <v/>
      </c>
    </row>
    <row r="29">
      <c r="A29">
        <f>Normalization!A29</f>
        <v/>
      </c>
      <c r="B29">
        <f>Normalization!B29</f>
        <v/>
      </c>
      <c r="C29">
        <f>Normalization!C29</f>
        <v/>
      </c>
      <c r="D29" s="6">
        <f>Normalization!D29*Assumptions!$C$7+Normalization!E29*Assumptions!$C$8+Normalization!F29*Assumptions!$C$9+Normalization!G29*Assumptions!$C$10+Normalization!H29*Assumptions!$C$11+Normalization!I29*Assumptions!$C$12+Normalization!J29*Assumptions!$C$13</f>
        <v/>
      </c>
      <c r="E29" s="6">
        <f>Normalization!D29*Assumptions!$D$7+Normalization!E29*Assumptions!$D$8+Normalization!F29*Assumptions!$D$9+Normalization!G29*Assumptions!$D$10+Normalization!H29*Assumptions!$D$11+Normalization!I29*Assumptions!$D$12+Normalization!J29*Assumptions!$D$13</f>
        <v/>
      </c>
      <c r="F29" s="6">
        <f>Normalization!D29*Assumptions!$E$7+Normalization!E29*Assumptions!$E$8+Normalization!F29*Assumptions!$E$9+Normalization!G29*Assumptions!$E$10+Normalization!H29*Assumptions!$E$11+Normalization!I29*Assumptions!$E$12+Normalization!J29*Assumptions!$E$13</f>
        <v/>
      </c>
      <c r="G29" s="6">
        <f>Normalization!D29*Assumptions!$F$7+Normalization!E29*Assumptions!$F$8+Normalization!F29*Assumptions!$F$9+Normalization!G29*Assumptions!$F$10+Normalization!H29*Assumptions!$F$11+Normalization!I29*Assumptions!$F$12+Normalization!J29*Assumptions!$F$13</f>
        <v/>
      </c>
      <c r="H29">
        <f>SUMPRODUCT(($C$2:$C$81=$C29)*($D$2:$D$81&gt;$D29))+1</f>
        <v/>
      </c>
      <c r="I29">
        <f>SUMPRODUCT(($C$2:$C$81=$C29)*($E$2:$E$81&gt;$E29))+1</f>
        <v/>
      </c>
      <c r="J29">
        <f>SUMPRODUCT(($C$2:$C$81=$C29)*($F$2:$F$81&gt;$F29))+1</f>
        <v/>
      </c>
      <c r="K29">
        <f>SUMPRODUCT(($C$2:$C$81=$C29)*($G$2:$G$81&gt;$G29))+1</f>
        <v/>
      </c>
    </row>
    <row r="30">
      <c r="A30">
        <f>Normalization!A30</f>
        <v/>
      </c>
      <c r="B30">
        <f>Normalization!B30</f>
        <v/>
      </c>
      <c r="C30">
        <f>Normalization!C30</f>
        <v/>
      </c>
      <c r="D30" s="6">
        <f>Normalization!D30*Assumptions!$C$7+Normalization!E30*Assumptions!$C$8+Normalization!F30*Assumptions!$C$9+Normalization!G30*Assumptions!$C$10+Normalization!H30*Assumptions!$C$11+Normalization!I30*Assumptions!$C$12+Normalization!J30*Assumptions!$C$13</f>
        <v/>
      </c>
      <c r="E30" s="6">
        <f>Normalization!D30*Assumptions!$D$7+Normalization!E30*Assumptions!$D$8+Normalization!F30*Assumptions!$D$9+Normalization!G30*Assumptions!$D$10+Normalization!H30*Assumptions!$D$11+Normalization!I30*Assumptions!$D$12+Normalization!J30*Assumptions!$D$13</f>
        <v/>
      </c>
      <c r="F30" s="6">
        <f>Normalization!D30*Assumptions!$E$7+Normalization!E30*Assumptions!$E$8+Normalization!F30*Assumptions!$E$9+Normalization!G30*Assumptions!$E$10+Normalization!H30*Assumptions!$E$11+Normalization!I30*Assumptions!$E$12+Normalization!J30*Assumptions!$E$13</f>
        <v/>
      </c>
      <c r="G30" s="6">
        <f>Normalization!D30*Assumptions!$F$7+Normalization!E30*Assumptions!$F$8+Normalization!F30*Assumptions!$F$9+Normalization!G30*Assumptions!$F$10+Normalization!H30*Assumptions!$F$11+Normalization!I30*Assumptions!$F$12+Normalization!J30*Assumptions!$F$13</f>
        <v/>
      </c>
      <c r="H30">
        <f>SUMPRODUCT(($C$2:$C$81=$C30)*($D$2:$D$81&gt;$D30))+1</f>
        <v/>
      </c>
      <c r="I30">
        <f>SUMPRODUCT(($C$2:$C$81=$C30)*($E$2:$E$81&gt;$E30))+1</f>
        <v/>
      </c>
      <c r="J30">
        <f>SUMPRODUCT(($C$2:$C$81=$C30)*($F$2:$F$81&gt;$F30))+1</f>
        <v/>
      </c>
      <c r="K30">
        <f>SUMPRODUCT(($C$2:$C$81=$C30)*($G$2:$G$81&gt;$G30))+1</f>
        <v/>
      </c>
    </row>
    <row r="31">
      <c r="A31">
        <f>Normalization!A31</f>
        <v/>
      </c>
      <c r="B31">
        <f>Normalization!B31</f>
        <v/>
      </c>
      <c r="C31">
        <f>Normalization!C31</f>
        <v/>
      </c>
      <c r="D31" s="6">
        <f>Normalization!D31*Assumptions!$C$7+Normalization!E31*Assumptions!$C$8+Normalization!F31*Assumptions!$C$9+Normalization!G31*Assumptions!$C$10+Normalization!H31*Assumptions!$C$11+Normalization!I31*Assumptions!$C$12+Normalization!J31*Assumptions!$C$13</f>
        <v/>
      </c>
      <c r="E31" s="6">
        <f>Normalization!D31*Assumptions!$D$7+Normalization!E31*Assumptions!$D$8+Normalization!F31*Assumptions!$D$9+Normalization!G31*Assumptions!$D$10+Normalization!H31*Assumptions!$D$11+Normalization!I31*Assumptions!$D$12+Normalization!J31*Assumptions!$D$13</f>
        <v/>
      </c>
      <c r="F31" s="6">
        <f>Normalization!D31*Assumptions!$E$7+Normalization!E31*Assumptions!$E$8+Normalization!F31*Assumptions!$E$9+Normalization!G31*Assumptions!$E$10+Normalization!H31*Assumptions!$E$11+Normalization!I31*Assumptions!$E$12+Normalization!J31*Assumptions!$E$13</f>
        <v/>
      </c>
      <c r="G31" s="6">
        <f>Normalization!D31*Assumptions!$F$7+Normalization!E31*Assumptions!$F$8+Normalization!F31*Assumptions!$F$9+Normalization!G31*Assumptions!$F$10+Normalization!H31*Assumptions!$F$11+Normalization!I31*Assumptions!$F$12+Normalization!J31*Assumptions!$F$13</f>
        <v/>
      </c>
      <c r="H31">
        <f>SUMPRODUCT(($C$2:$C$81=$C31)*($D$2:$D$81&gt;$D31))+1</f>
        <v/>
      </c>
      <c r="I31">
        <f>SUMPRODUCT(($C$2:$C$81=$C31)*($E$2:$E$81&gt;$E31))+1</f>
        <v/>
      </c>
      <c r="J31">
        <f>SUMPRODUCT(($C$2:$C$81=$C31)*($F$2:$F$81&gt;$F31))+1</f>
        <v/>
      </c>
      <c r="K31">
        <f>SUMPRODUCT(($C$2:$C$81=$C31)*($G$2:$G$81&gt;$G31))+1</f>
        <v/>
      </c>
    </row>
    <row r="32">
      <c r="A32">
        <f>Normalization!A32</f>
        <v/>
      </c>
      <c r="B32">
        <f>Normalization!B32</f>
        <v/>
      </c>
      <c r="C32">
        <f>Normalization!C32</f>
        <v/>
      </c>
      <c r="D32" s="6">
        <f>Normalization!D32*Assumptions!$C$7+Normalization!E32*Assumptions!$C$8+Normalization!F32*Assumptions!$C$9+Normalization!G32*Assumptions!$C$10+Normalization!H32*Assumptions!$C$11+Normalization!I32*Assumptions!$C$12+Normalization!J32*Assumptions!$C$13</f>
        <v/>
      </c>
      <c r="E32" s="6">
        <f>Normalization!D32*Assumptions!$D$7+Normalization!E32*Assumptions!$D$8+Normalization!F32*Assumptions!$D$9+Normalization!G32*Assumptions!$D$10+Normalization!H32*Assumptions!$D$11+Normalization!I32*Assumptions!$D$12+Normalization!J32*Assumptions!$D$13</f>
        <v/>
      </c>
      <c r="F32" s="6">
        <f>Normalization!D32*Assumptions!$E$7+Normalization!E32*Assumptions!$E$8+Normalization!F32*Assumptions!$E$9+Normalization!G32*Assumptions!$E$10+Normalization!H32*Assumptions!$E$11+Normalization!I32*Assumptions!$E$12+Normalization!J32*Assumptions!$E$13</f>
        <v/>
      </c>
      <c r="G32" s="6">
        <f>Normalization!D32*Assumptions!$F$7+Normalization!E32*Assumptions!$F$8+Normalization!F32*Assumptions!$F$9+Normalization!G32*Assumptions!$F$10+Normalization!H32*Assumptions!$F$11+Normalization!I32*Assumptions!$F$12+Normalization!J32*Assumptions!$F$13</f>
        <v/>
      </c>
      <c r="H32">
        <f>SUMPRODUCT(($C$2:$C$81=$C32)*($D$2:$D$81&gt;$D32))+1</f>
        <v/>
      </c>
      <c r="I32">
        <f>SUMPRODUCT(($C$2:$C$81=$C32)*($E$2:$E$81&gt;$E32))+1</f>
        <v/>
      </c>
      <c r="J32">
        <f>SUMPRODUCT(($C$2:$C$81=$C32)*($F$2:$F$81&gt;$F32))+1</f>
        <v/>
      </c>
      <c r="K32">
        <f>SUMPRODUCT(($C$2:$C$81=$C32)*($G$2:$G$81&gt;$G32))+1</f>
        <v/>
      </c>
    </row>
    <row r="33">
      <c r="A33">
        <f>Normalization!A33</f>
        <v/>
      </c>
      <c r="B33">
        <f>Normalization!B33</f>
        <v/>
      </c>
      <c r="C33">
        <f>Normalization!C33</f>
        <v/>
      </c>
      <c r="D33" s="6">
        <f>Normalization!D33*Assumptions!$C$7+Normalization!E33*Assumptions!$C$8+Normalization!F33*Assumptions!$C$9+Normalization!G33*Assumptions!$C$10+Normalization!H33*Assumptions!$C$11+Normalization!I33*Assumptions!$C$12+Normalization!J33*Assumptions!$C$13</f>
        <v/>
      </c>
      <c r="E33" s="6">
        <f>Normalization!D33*Assumptions!$D$7+Normalization!E33*Assumptions!$D$8+Normalization!F33*Assumptions!$D$9+Normalization!G33*Assumptions!$D$10+Normalization!H33*Assumptions!$D$11+Normalization!I33*Assumptions!$D$12+Normalization!J33*Assumptions!$D$13</f>
        <v/>
      </c>
      <c r="F33" s="6">
        <f>Normalization!D33*Assumptions!$E$7+Normalization!E33*Assumptions!$E$8+Normalization!F33*Assumptions!$E$9+Normalization!G33*Assumptions!$E$10+Normalization!H33*Assumptions!$E$11+Normalization!I33*Assumptions!$E$12+Normalization!J33*Assumptions!$E$13</f>
        <v/>
      </c>
      <c r="G33" s="6">
        <f>Normalization!D33*Assumptions!$F$7+Normalization!E33*Assumptions!$F$8+Normalization!F33*Assumptions!$F$9+Normalization!G33*Assumptions!$F$10+Normalization!H33*Assumptions!$F$11+Normalization!I33*Assumptions!$F$12+Normalization!J33*Assumptions!$F$13</f>
        <v/>
      </c>
      <c r="H33">
        <f>SUMPRODUCT(($C$2:$C$81=$C33)*($D$2:$D$81&gt;$D33))+1</f>
        <v/>
      </c>
      <c r="I33">
        <f>SUMPRODUCT(($C$2:$C$81=$C33)*($E$2:$E$81&gt;$E33))+1</f>
        <v/>
      </c>
      <c r="J33">
        <f>SUMPRODUCT(($C$2:$C$81=$C33)*($F$2:$F$81&gt;$F33))+1</f>
        <v/>
      </c>
      <c r="K33">
        <f>SUMPRODUCT(($C$2:$C$81=$C33)*($G$2:$G$81&gt;$G33))+1</f>
        <v/>
      </c>
    </row>
    <row r="34">
      <c r="A34">
        <f>Normalization!A34</f>
        <v/>
      </c>
      <c r="B34">
        <f>Normalization!B34</f>
        <v/>
      </c>
      <c r="C34">
        <f>Normalization!C34</f>
        <v/>
      </c>
      <c r="D34" s="6">
        <f>Normalization!D34*Assumptions!$C$7+Normalization!E34*Assumptions!$C$8+Normalization!F34*Assumptions!$C$9+Normalization!G34*Assumptions!$C$10+Normalization!H34*Assumptions!$C$11+Normalization!I34*Assumptions!$C$12+Normalization!J34*Assumptions!$C$13</f>
        <v/>
      </c>
      <c r="E34" s="6">
        <f>Normalization!D34*Assumptions!$D$7+Normalization!E34*Assumptions!$D$8+Normalization!F34*Assumptions!$D$9+Normalization!G34*Assumptions!$D$10+Normalization!H34*Assumptions!$D$11+Normalization!I34*Assumptions!$D$12+Normalization!J34*Assumptions!$D$13</f>
        <v/>
      </c>
      <c r="F34" s="6">
        <f>Normalization!D34*Assumptions!$E$7+Normalization!E34*Assumptions!$E$8+Normalization!F34*Assumptions!$E$9+Normalization!G34*Assumptions!$E$10+Normalization!H34*Assumptions!$E$11+Normalization!I34*Assumptions!$E$12+Normalization!J34*Assumptions!$E$13</f>
        <v/>
      </c>
      <c r="G34" s="6">
        <f>Normalization!D34*Assumptions!$F$7+Normalization!E34*Assumptions!$F$8+Normalization!F34*Assumptions!$F$9+Normalization!G34*Assumptions!$F$10+Normalization!H34*Assumptions!$F$11+Normalization!I34*Assumptions!$F$12+Normalization!J34*Assumptions!$F$13</f>
        <v/>
      </c>
      <c r="H34">
        <f>SUMPRODUCT(($C$2:$C$81=$C34)*($D$2:$D$81&gt;$D34))+1</f>
        <v/>
      </c>
      <c r="I34">
        <f>SUMPRODUCT(($C$2:$C$81=$C34)*($E$2:$E$81&gt;$E34))+1</f>
        <v/>
      </c>
      <c r="J34">
        <f>SUMPRODUCT(($C$2:$C$81=$C34)*($F$2:$F$81&gt;$F34))+1</f>
        <v/>
      </c>
      <c r="K34">
        <f>SUMPRODUCT(($C$2:$C$81=$C34)*($G$2:$G$81&gt;$G34))+1</f>
        <v/>
      </c>
    </row>
    <row r="35">
      <c r="A35">
        <f>Normalization!A35</f>
        <v/>
      </c>
      <c r="B35">
        <f>Normalization!B35</f>
        <v/>
      </c>
      <c r="C35">
        <f>Normalization!C35</f>
        <v/>
      </c>
      <c r="D35" s="6">
        <f>Normalization!D35*Assumptions!$C$7+Normalization!E35*Assumptions!$C$8+Normalization!F35*Assumptions!$C$9+Normalization!G35*Assumptions!$C$10+Normalization!H35*Assumptions!$C$11+Normalization!I35*Assumptions!$C$12+Normalization!J35*Assumptions!$C$13</f>
        <v/>
      </c>
      <c r="E35" s="6">
        <f>Normalization!D35*Assumptions!$D$7+Normalization!E35*Assumptions!$D$8+Normalization!F35*Assumptions!$D$9+Normalization!G35*Assumptions!$D$10+Normalization!H35*Assumptions!$D$11+Normalization!I35*Assumptions!$D$12+Normalization!J35*Assumptions!$D$13</f>
        <v/>
      </c>
      <c r="F35" s="6">
        <f>Normalization!D35*Assumptions!$E$7+Normalization!E35*Assumptions!$E$8+Normalization!F35*Assumptions!$E$9+Normalization!G35*Assumptions!$E$10+Normalization!H35*Assumptions!$E$11+Normalization!I35*Assumptions!$E$12+Normalization!J35*Assumptions!$E$13</f>
        <v/>
      </c>
      <c r="G35" s="6">
        <f>Normalization!D35*Assumptions!$F$7+Normalization!E35*Assumptions!$F$8+Normalization!F35*Assumptions!$F$9+Normalization!G35*Assumptions!$F$10+Normalization!H35*Assumptions!$F$11+Normalization!I35*Assumptions!$F$12+Normalization!J35*Assumptions!$F$13</f>
        <v/>
      </c>
      <c r="H35">
        <f>SUMPRODUCT(($C$2:$C$81=$C35)*($D$2:$D$81&gt;$D35))+1</f>
        <v/>
      </c>
      <c r="I35">
        <f>SUMPRODUCT(($C$2:$C$81=$C35)*($E$2:$E$81&gt;$E35))+1</f>
        <v/>
      </c>
      <c r="J35">
        <f>SUMPRODUCT(($C$2:$C$81=$C35)*($F$2:$F$81&gt;$F35))+1</f>
        <v/>
      </c>
      <c r="K35">
        <f>SUMPRODUCT(($C$2:$C$81=$C35)*($G$2:$G$81&gt;$G35))+1</f>
        <v/>
      </c>
    </row>
    <row r="36">
      <c r="A36">
        <f>Normalization!A36</f>
        <v/>
      </c>
      <c r="B36">
        <f>Normalization!B36</f>
        <v/>
      </c>
      <c r="C36">
        <f>Normalization!C36</f>
        <v/>
      </c>
      <c r="D36" s="6">
        <f>Normalization!D36*Assumptions!$C$7+Normalization!E36*Assumptions!$C$8+Normalization!F36*Assumptions!$C$9+Normalization!G36*Assumptions!$C$10+Normalization!H36*Assumptions!$C$11+Normalization!I36*Assumptions!$C$12+Normalization!J36*Assumptions!$C$13</f>
        <v/>
      </c>
      <c r="E36" s="6">
        <f>Normalization!D36*Assumptions!$D$7+Normalization!E36*Assumptions!$D$8+Normalization!F36*Assumptions!$D$9+Normalization!G36*Assumptions!$D$10+Normalization!H36*Assumptions!$D$11+Normalization!I36*Assumptions!$D$12+Normalization!J36*Assumptions!$D$13</f>
        <v/>
      </c>
      <c r="F36" s="6">
        <f>Normalization!D36*Assumptions!$E$7+Normalization!E36*Assumptions!$E$8+Normalization!F36*Assumptions!$E$9+Normalization!G36*Assumptions!$E$10+Normalization!H36*Assumptions!$E$11+Normalization!I36*Assumptions!$E$12+Normalization!J36*Assumptions!$E$13</f>
        <v/>
      </c>
      <c r="G36" s="6">
        <f>Normalization!D36*Assumptions!$F$7+Normalization!E36*Assumptions!$F$8+Normalization!F36*Assumptions!$F$9+Normalization!G36*Assumptions!$F$10+Normalization!H36*Assumptions!$F$11+Normalization!I36*Assumptions!$F$12+Normalization!J36*Assumptions!$F$13</f>
        <v/>
      </c>
      <c r="H36">
        <f>SUMPRODUCT(($C$2:$C$81=$C36)*($D$2:$D$81&gt;$D36))+1</f>
        <v/>
      </c>
      <c r="I36">
        <f>SUMPRODUCT(($C$2:$C$81=$C36)*($E$2:$E$81&gt;$E36))+1</f>
        <v/>
      </c>
      <c r="J36">
        <f>SUMPRODUCT(($C$2:$C$81=$C36)*($F$2:$F$81&gt;$F36))+1</f>
        <v/>
      </c>
      <c r="K36">
        <f>SUMPRODUCT(($C$2:$C$81=$C36)*($G$2:$G$81&gt;$G36))+1</f>
        <v/>
      </c>
    </row>
    <row r="37">
      <c r="A37">
        <f>Normalization!A37</f>
        <v/>
      </c>
      <c r="B37">
        <f>Normalization!B37</f>
        <v/>
      </c>
      <c r="C37">
        <f>Normalization!C37</f>
        <v/>
      </c>
      <c r="D37" s="6">
        <f>Normalization!D37*Assumptions!$C$7+Normalization!E37*Assumptions!$C$8+Normalization!F37*Assumptions!$C$9+Normalization!G37*Assumptions!$C$10+Normalization!H37*Assumptions!$C$11+Normalization!I37*Assumptions!$C$12+Normalization!J37*Assumptions!$C$13</f>
        <v/>
      </c>
      <c r="E37" s="6">
        <f>Normalization!D37*Assumptions!$D$7+Normalization!E37*Assumptions!$D$8+Normalization!F37*Assumptions!$D$9+Normalization!G37*Assumptions!$D$10+Normalization!H37*Assumptions!$D$11+Normalization!I37*Assumptions!$D$12+Normalization!J37*Assumptions!$D$13</f>
        <v/>
      </c>
      <c r="F37" s="6">
        <f>Normalization!D37*Assumptions!$E$7+Normalization!E37*Assumptions!$E$8+Normalization!F37*Assumptions!$E$9+Normalization!G37*Assumptions!$E$10+Normalization!H37*Assumptions!$E$11+Normalization!I37*Assumptions!$E$12+Normalization!J37*Assumptions!$E$13</f>
        <v/>
      </c>
      <c r="G37" s="6">
        <f>Normalization!D37*Assumptions!$F$7+Normalization!E37*Assumptions!$F$8+Normalization!F37*Assumptions!$F$9+Normalization!G37*Assumptions!$F$10+Normalization!H37*Assumptions!$F$11+Normalization!I37*Assumptions!$F$12+Normalization!J37*Assumptions!$F$13</f>
        <v/>
      </c>
      <c r="H37">
        <f>SUMPRODUCT(($C$2:$C$81=$C37)*($D$2:$D$81&gt;$D37))+1</f>
        <v/>
      </c>
      <c r="I37">
        <f>SUMPRODUCT(($C$2:$C$81=$C37)*($E$2:$E$81&gt;$E37))+1</f>
        <v/>
      </c>
      <c r="J37">
        <f>SUMPRODUCT(($C$2:$C$81=$C37)*($F$2:$F$81&gt;$F37))+1</f>
        <v/>
      </c>
      <c r="K37">
        <f>SUMPRODUCT(($C$2:$C$81=$C37)*($G$2:$G$81&gt;$G37))+1</f>
        <v/>
      </c>
    </row>
    <row r="38">
      <c r="A38">
        <f>Normalization!A38</f>
        <v/>
      </c>
      <c r="B38">
        <f>Normalization!B38</f>
        <v/>
      </c>
      <c r="C38">
        <f>Normalization!C38</f>
        <v/>
      </c>
      <c r="D38" s="6">
        <f>Normalization!D38*Assumptions!$C$7+Normalization!E38*Assumptions!$C$8+Normalization!F38*Assumptions!$C$9+Normalization!G38*Assumptions!$C$10+Normalization!H38*Assumptions!$C$11+Normalization!I38*Assumptions!$C$12+Normalization!J38*Assumptions!$C$13</f>
        <v/>
      </c>
      <c r="E38" s="6">
        <f>Normalization!D38*Assumptions!$D$7+Normalization!E38*Assumptions!$D$8+Normalization!F38*Assumptions!$D$9+Normalization!G38*Assumptions!$D$10+Normalization!H38*Assumptions!$D$11+Normalization!I38*Assumptions!$D$12+Normalization!J38*Assumptions!$D$13</f>
        <v/>
      </c>
      <c r="F38" s="6">
        <f>Normalization!D38*Assumptions!$E$7+Normalization!E38*Assumptions!$E$8+Normalization!F38*Assumptions!$E$9+Normalization!G38*Assumptions!$E$10+Normalization!H38*Assumptions!$E$11+Normalization!I38*Assumptions!$E$12+Normalization!J38*Assumptions!$E$13</f>
        <v/>
      </c>
      <c r="G38" s="6">
        <f>Normalization!D38*Assumptions!$F$7+Normalization!E38*Assumptions!$F$8+Normalization!F38*Assumptions!$F$9+Normalization!G38*Assumptions!$F$10+Normalization!H38*Assumptions!$F$11+Normalization!I38*Assumptions!$F$12+Normalization!J38*Assumptions!$F$13</f>
        <v/>
      </c>
      <c r="H38">
        <f>SUMPRODUCT(($C$2:$C$81=$C38)*($D$2:$D$81&gt;$D38))+1</f>
        <v/>
      </c>
      <c r="I38">
        <f>SUMPRODUCT(($C$2:$C$81=$C38)*($E$2:$E$81&gt;$E38))+1</f>
        <v/>
      </c>
      <c r="J38">
        <f>SUMPRODUCT(($C$2:$C$81=$C38)*($F$2:$F$81&gt;$F38))+1</f>
        <v/>
      </c>
      <c r="K38">
        <f>SUMPRODUCT(($C$2:$C$81=$C38)*($G$2:$G$81&gt;$G38))+1</f>
        <v/>
      </c>
    </row>
    <row r="39">
      <c r="A39">
        <f>Normalization!A39</f>
        <v/>
      </c>
      <c r="B39">
        <f>Normalization!B39</f>
        <v/>
      </c>
      <c r="C39">
        <f>Normalization!C39</f>
        <v/>
      </c>
      <c r="D39" s="6">
        <f>Normalization!D39*Assumptions!$C$7+Normalization!E39*Assumptions!$C$8+Normalization!F39*Assumptions!$C$9+Normalization!G39*Assumptions!$C$10+Normalization!H39*Assumptions!$C$11+Normalization!I39*Assumptions!$C$12+Normalization!J39*Assumptions!$C$13</f>
        <v/>
      </c>
      <c r="E39" s="6">
        <f>Normalization!D39*Assumptions!$D$7+Normalization!E39*Assumptions!$D$8+Normalization!F39*Assumptions!$D$9+Normalization!G39*Assumptions!$D$10+Normalization!H39*Assumptions!$D$11+Normalization!I39*Assumptions!$D$12+Normalization!J39*Assumptions!$D$13</f>
        <v/>
      </c>
      <c r="F39" s="6">
        <f>Normalization!D39*Assumptions!$E$7+Normalization!E39*Assumptions!$E$8+Normalization!F39*Assumptions!$E$9+Normalization!G39*Assumptions!$E$10+Normalization!H39*Assumptions!$E$11+Normalization!I39*Assumptions!$E$12+Normalization!J39*Assumptions!$E$13</f>
        <v/>
      </c>
      <c r="G39" s="6">
        <f>Normalization!D39*Assumptions!$F$7+Normalization!E39*Assumptions!$F$8+Normalization!F39*Assumptions!$F$9+Normalization!G39*Assumptions!$F$10+Normalization!H39*Assumptions!$F$11+Normalization!I39*Assumptions!$F$12+Normalization!J39*Assumptions!$F$13</f>
        <v/>
      </c>
      <c r="H39">
        <f>SUMPRODUCT(($C$2:$C$81=$C39)*($D$2:$D$81&gt;$D39))+1</f>
        <v/>
      </c>
      <c r="I39">
        <f>SUMPRODUCT(($C$2:$C$81=$C39)*($E$2:$E$81&gt;$E39))+1</f>
        <v/>
      </c>
      <c r="J39">
        <f>SUMPRODUCT(($C$2:$C$81=$C39)*($F$2:$F$81&gt;$F39))+1</f>
        <v/>
      </c>
      <c r="K39">
        <f>SUMPRODUCT(($C$2:$C$81=$C39)*($G$2:$G$81&gt;$G39))+1</f>
        <v/>
      </c>
    </row>
    <row r="40">
      <c r="A40">
        <f>Normalization!A40</f>
        <v/>
      </c>
      <c r="B40">
        <f>Normalization!B40</f>
        <v/>
      </c>
      <c r="C40">
        <f>Normalization!C40</f>
        <v/>
      </c>
      <c r="D40" s="6">
        <f>Normalization!D40*Assumptions!$C$7+Normalization!E40*Assumptions!$C$8+Normalization!F40*Assumptions!$C$9+Normalization!G40*Assumptions!$C$10+Normalization!H40*Assumptions!$C$11+Normalization!I40*Assumptions!$C$12+Normalization!J40*Assumptions!$C$13</f>
        <v/>
      </c>
      <c r="E40" s="6">
        <f>Normalization!D40*Assumptions!$D$7+Normalization!E40*Assumptions!$D$8+Normalization!F40*Assumptions!$D$9+Normalization!G40*Assumptions!$D$10+Normalization!H40*Assumptions!$D$11+Normalization!I40*Assumptions!$D$12+Normalization!J40*Assumptions!$D$13</f>
        <v/>
      </c>
      <c r="F40" s="6">
        <f>Normalization!D40*Assumptions!$E$7+Normalization!E40*Assumptions!$E$8+Normalization!F40*Assumptions!$E$9+Normalization!G40*Assumptions!$E$10+Normalization!H40*Assumptions!$E$11+Normalization!I40*Assumptions!$E$12+Normalization!J40*Assumptions!$E$13</f>
        <v/>
      </c>
      <c r="G40" s="6">
        <f>Normalization!D40*Assumptions!$F$7+Normalization!E40*Assumptions!$F$8+Normalization!F40*Assumptions!$F$9+Normalization!G40*Assumptions!$F$10+Normalization!H40*Assumptions!$F$11+Normalization!I40*Assumptions!$F$12+Normalization!J40*Assumptions!$F$13</f>
        <v/>
      </c>
      <c r="H40">
        <f>SUMPRODUCT(($C$2:$C$81=$C40)*($D$2:$D$81&gt;$D40))+1</f>
        <v/>
      </c>
      <c r="I40">
        <f>SUMPRODUCT(($C$2:$C$81=$C40)*($E$2:$E$81&gt;$E40))+1</f>
        <v/>
      </c>
      <c r="J40">
        <f>SUMPRODUCT(($C$2:$C$81=$C40)*($F$2:$F$81&gt;$F40))+1</f>
        <v/>
      </c>
      <c r="K40">
        <f>SUMPRODUCT(($C$2:$C$81=$C40)*($G$2:$G$81&gt;$G40))+1</f>
        <v/>
      </c>
    </row>
    <row r="41">
      <c r="A41">
        <f>Normalization!A41</f>
        <v/>
      </c>
      <c r="B41">
        <f>Normalization!B41</f>
        <v/>
      </c>
      <c r="C41">
        <f>Normalization!C41</f>
        <v/>
      </c>
      <c r="D41" s="6">
        <f>Normalization!D41*Assumptions!$C$7+Normalization!E41*Assumptions!$C$8+Normalization!F41*Assumptions!$C$9+Normalization!G41*Assumptions!$C$10+Normalization!H41*Assumptions!$C$11+Normalization!I41*Assumptions!$C$12+Normalization!J41*Assumptions!$C$13</f>
        <v/>
      </c>
      <c r="E41" s="6">
        <f>Normalization!D41*Assumptions!$D$7+Normalization!E41*Assumptions!$D$8+Normalization!F41*Assumptions!$D$9+Normalization!G41*Assumptions!$D$10+Normalization!H41*Assumptions!$D$11+Normalization!I41*Assumptions!$D$12+Normalization!J41*Assumptions!$D$13</f>
        <v/>
      </c>
      <c r="F41" s="6">
        <f>Normalization!D41*Assumptions!$E$7+Normalization!E41*Assumptions!$E$8+Normalization!F41*Assumptions!$E$9+Normalization!G41*Assumptions!$E$10+Normalization!H41*Assumptions!$E$11+Normalization!I41*Assumptions!$E$12+Normalization!J41*Assumptions!$E$13</f>
        <v/>
      </c>
      <c r="G41" s="6">
        <f>Normalization!D41*Assumptions!$F$7+Normalization!E41*Assumptions!$F$8+Normalization!F41*Assumptions!$F$9+Normalization!G41*Assumptions!$F$10+Normalization!H41*Assumptions!$F$11+Normalization!I41*Assumptions!$F$12+Normalization!J41*Assumptions!$F$13</f>
        <v/>
      </c>
      <c r="H41">
        <f>SUMPRODUCT(($C$2:$C$81=$C41)*($D$2:$D$81&gt;$D41))+1</f>
        <v/>
      </c>
      <c r="I41">
        <f>SUMPRODUCT(($C$2:$C$81=$C41)*($E$2:$E$81&gt;$E41))+1</f>
        <v/>
      </c>
      <c r="J41">
        <f>SUMPRODUCT(($C$2:$C$81=$C41)*($F$2:$F$81&gt;$F41))+1</f>
        <v/>
      </c>
      <c r="K41">
        <f>SUMPRODUCT(($C$2:$C$81=$C41)*($G$2:$G$81&gt;$G41))+1</f>
        <v/>
      </c>
    </row>
    <row r="42">
      <c r="A42">
        <f>Normalization!A42</f>
        <v/>
      </c>
      <c r="B42">
        <f>Normalization!B42</f>
        <v/>
      </c>
      <c r="C42">
        <f>Normalization!C42</f>
        <v/>
      </c>
      <c r="D42" s="6">
        <f>Normalization!D42*Assumptions!$C$7+Normalization!E42*Assumptions!$C$8+Normalization!F42*Assumptions!$C$9+Normalization!G42*Assumptions!$C$10+Normalization!H42*Assumptions!$C$11+Normalization!I42*Assumptions!$C$12+Normalization!J42*Assumptions!$C$13</f>
        <v/>
      </c>
      <c r="E42" s="6">
        <f>Normalization!D42*Assumptions!$D$7+Normalization!E42*Assumptions!$D$8+Normalization!F42*Assumptions!$D$9+Normalization!G42*Assumptions!$D$10+Normalization!H42*Assumptions!$D$11+Normalization!I42*Assumptions!$D$12+Normalization!J42*Assumptions!$D$13</f>
        <v/>
      </c>
      <c r="F42" s="6">
        <f>Normalization!D42*Assumptions!$E$7+Normalization!E42*Assumptions!$E$8+Normalization!F42*Assumptions!$E$9+Normalization!G42*Assumptions!$E$10+Normalization!H42*Assumptions!$E$11+Normalization!I42*Assumptions!$E$12+Normalization!J42*Assumptions!$E$13</f>
        <v/>
      </c>
      <c r="G42" s="6">
        <f>Normalization!D42*Assumptions!$F$7+Normalization!E42*Assumptions!$F$8+Normalization!F42*Assumptions!$F$9+Normalization!G42*Assumptions!$F$10+Normalization!H42*Assumptions!$F$11+Normalization!I42*Assumptions!$F$12+Normalization!J42*Assumptions!$F$13</f>
        <v/>
      </c>
      <c r="H42">
        <f>SUMPRODUCT(($C$2:$C$81=$C42)*($D$2:$D$81&gt;$D42))+1</f>
        <v/>
      </c>
      <c r="I42">
        <f>SUMPRODUCT(($C$2:$C$81=$C42)*($E$2:$E$81&gt;$E42))+1</f>
        <v/>
      </c>
      <c r="J42">
        <f>SUMPRODUCT(($C$2:$C$81=$C42)*($F$2:$F$81&gt;$F42))+1</f>
        <v/>
      </c>
      <c r="K42">
        <f>SUMPRODUCT(($C$2:$C$81=$C42)*($G$2:$G$81&gt;$G42))+1</f>
        <v/>
      </c>
    </row>
    <row r="43">
      <c r="A43">
        <f>Normalization!A43</f>
        <v/>
      </c>
      <c r="B43">
        <f>Normalization!B43</f>
        <v/>
      </c>
      <c r="C43">
        <f>Normalization!C43</f>
        <v/>
      </c>
      <c r="D43" s="6">
        <f>Normalization!D43*Assumptions!$C$7+Normalization!E43*Assumptions!$C$8+Normalization!F43*Assumptions!$C$9+Normalization!G43*Assumptions!$C$10+Normalization!H43*Assumptions!$C$11+Normalization!I43*Assumptions!$C$12+Normalization!J43*Assumptions!$C$13</f>
        <v/>
      </c>
      <c r="E43" s="6">
        <f>Normalization!D43*Assumptions!$D$7+Normalization!E43*Assumptions!$D$8+Normalization!F43*Assumptions!$D$9+Normalization!G43*Assumptions!$D$10+Normalization!H43*Assumptions!$D$11+Normalization!I43*Assumptions!$D$12+Normalization!J43*Assumptions!$D$13</f>
        <v/>
      </c>
      <c r="F43" s="6">
        <f>Normalization!D43*Assumptions!$E$7+Normalization!E43*Assumptions!$E$8+Normalization!F43*Assumptions!$E$9+Normalization!G43*Assumptions!$E$10+Normalization!H43*Assumptions!$E$11+Normalization!I43*Assumptions!$E$12+Normalization!J43*Assumptions!$E$13</f>
        <v/>
      </c>
      <c r="G43" s="6">
        <f>Normalization!D43*Assumptions!$F$7+Normalization!E43*Assumptions!$F$8+Normalization!F43*Assumptions!$F$9+Normalization!G43*Assumptions!$F$10+Normalization!H43*Assumptions!$F$11+Normalization!I43*Assumptions!$F$12+Normalization!J43*Assumptions!$F$13</f>
        <v/>
      </c>
      <c r="H43">
        <f>SUMPRODUCT(($C$2:$C$81=$C43)*($D$2:$D$81&gt;$D43))+1</f>
        <v/>
      </c>
      <c r="I43">
        <f>SUMPRODUCT(($C$2:$C$81=$C43)*($E$2:$E$81&gt;$E43))+1</f>
        <v/>
      </c>
      <c r="J43">
        <f>SUMPRODUCT(($C$2:$C$81=$C43)*($F$2:$F$81&gt;$F43))+1</f>
        <v/>
      </c>
      <c r="K43">
        <f>SUMPRODUCT(($C$2:$C$81=$C43)*($G$2:$G$81&gt;$G43))+1</f>
        <v/>
      </c>
    </row>
    <row r="44">
      <c r="A44">
        <f>Normalization!A44</f>
        <v/>
      </c>
      <c r="B44">
        <f>Normalization!B44</f>
        <v/>
      </c>
      <c r="C44">
        <f>Normalization!C44</f>
        <v/>
      </c>
      <c r="D44" s="6">
        <f>Normalization!D44*Assumptions!$C$7+Normalization!E44*Assumptions!$C$8+Normalization!F44*Assumptions!$C$9+Normalization!G44*Assumptions!$C$10+Normalization!H44*Assumptions!$C$11+Normalization!I44*Assumptions!$C$12+Normalization!J44*Assumptions!$C$13</f>
        <v/>
      </c>
      <c r="E44" s="6">
        <f>Normalization!D44*Assumptions!$D$7+Normalization!E44*Assumptions!$D$8+Normalization!F44*Assumptions!$D$9+Normalization!G44*Assumptions!$D$10+Normalization!H44*Assumptions!$D$11+Normalization!I44*Assumptions!$D$12+Normalization!J44*Assumptions!$D$13</f>
        <v/>
      </c>
      <c r="F44" s="6">
        <f>Normalization!D44*Assumptions!$E$7+Normalization!E44*Assumptions!$E$8+Normalization!F44*Assumptions!$E$9+Normalization!G44*Assumptions!$E$10+Normalization!H44*Assumptions!$E$11+Normalization!I44*Assumptions!$E$12+Normalization!J44*Assumptions!$E$13</f>
        <v/>
      </c>
      <c r="G44" s="6">
        <f>Normalization!D44*Assumptions!$F$7+Normalization!E44*Assumptions!$F$8+Normalization!F44*Assumptions!$F$9+Normalization!G44*Assumptions!$F$10+Normalization!H44*Assumptions!$F$11+Normalization!I44*Assumptions!$F$12+Normalization!J44*Assumptions!$F$13</f>
        <v/>
      </c>
      <c r="H44">
        <f>SUMPRODUCT(($C$2:$C$81=$C44)*($D$2:$D$81&gt;$D44))+1</f>
        <v/>
      </c>
      <c r="I44">
        <f>SUMPRODUCT(($C$2:$C$81=$C44)*($E$2:$E$81&gt;$E44))+1</f>
        <v/>
      </c>
      <c r="J44">
        <f>SUMPRODUCT(($C$2:$C$81=$C44)*($F$2:$F$81&gt;$F44))+1</f>
        <v/>
      </c>
      <c r="K44">
        <f>SUMPRODUCT(($C$2:$C$81=$C44)*($G$2:$G$81&gt;$G44))+1</f>
        <v/>
      </c>
    </row>
    <row r="45">
      <c r="A45">
        <f>Normalization!A45</f>
        <v/>
      </c>
      <c r="B45">
        <f>Normalization!B45</f>
        <v/>
      </c>
      <c r="C45">
        <f>Normalization!C45</f>
        <v/>
      </c>
      <c r="D45" s="6">
        <f>Normalization!D45*Assumptions!$C$7+Normalization!E45*Assumptions!$C$8+Normalization!F45*Assumptions!$C$9+Normalization!G45*Assumptions!$C$10+Normalization!H45*Assumptions!$C$11+Normalization!I45*Assumptions!$C$12+Normalization!J45*Assumptions!$C$13</f>
        <v/>
      </c>
      <c r="E45" s="6">
        <f>Normalization!D45*Assumptions!$D$7+Normalization!E45*Assumptions!$D$8+Normalization!F45*Assumptions!$D$9+Normalization!G45*Assumptions!$D$10+Normalization!H45*Assumptions!$D$11+Normalization!I45*Assumptions!$D$12+Normalization!J45*Assumptions!$D$13</f>
        <v/>
      </c>
      <c r="F45" s="6">
        <f>Normalization!D45*Assumptions!$E$7+Normalization!E45*Assumptions!$E$8+Normalization!F45*Assumptions!$E$9+Normalization!G45*Assumptions!$E$10+Normalization!H45*Assumptions!$E$11+Normalization!I45*Assumptions!$E$12+Normalization!J45*Assumptions!$E$13</f>
        <v/>
      </c>
      <c r="G45" s="6">
        <f>Normalization!D45*Assumptions!$F$7+Normalization!E45*Assumptions!$F$8+Normalization!F45*Assumptions!$F$9+Normalization!G45*Assumptions!$F$10+Normalization!H45*Assumptions!$F$11+Normalization!I45*Assumptions!$F$12+Normalization!J45*Assumptions!$F$13</f>
        <v/>
      </c>
      <c r="H45">
        <f>SUMPRODUCT(($C$2:$C$81=$C45)*($D$2:$D$81&gt;$D45))+1</f>
        <v/>
      </c>
      <c r="I45">
        <f>SUMPRODUCT(($C$2:$C$81=$C45)*($E$2:$E$81&gt;$E45))+1</f>
        <v/>
      </c>
      <c r="J45">
        <f>SUMPRODUCT(($C$2:$C$81=$C45)*($F$2:$F$81&gt;$F45))+1</f>
        <v/>
      </c>
      <c r="K45">
        <f>SUMPRODUCT(($C$2:$C$81=$C45)*($G$2:$G$81&gt;$G45))+1</f>
        <v/>
      </c>
    </row>
    <row r="46">
      <c r="A46">
        <f>Normalization!A46</f>
        <v/>
      </c>
      <c r="B46">
        <f>Normalization!B46</f>
        <v/>
      </c>
      <c r="C46">
        <f>Normalization!C46</f>
        <v/>
      </c>
      <c r="D46" s="6">
        <f>Normalization!D46*Assumptions!$C$7+Normalization!E46*Assumptions!$C$8+Normalization!F46*Assumptions!$C$9+Normalization!G46*Assumptions!$C$10+Normalization!H46*Assumptions!$C$11+Normalization!I46*Assumptions!$C$12+Normalization!J46*Assumptions!$C$13</f>
        <v/>
      </c>
      <c r="E46" s="6">
        <f>Normalization!D46*Assumptions!$D$7+Normalization!E46*Assumptions!$D$8+Normalization!F46*Assumptions!$D$9+Normalization!G46*Assumptions!$D$10+Normalization!H46*Assumptions!$D$11+Normalization!I46*Assumptions!$D$12+Normalization!J46*Assumptions!$D$13</f>
        <v/>
      </c>
      <c r="F46" s="6">
        <f>Normalization!D46*Assumptions!$E$7+Normalization!E46*Assumptions!$E$8+Normalization!F46*Assumptions!$E$9+Normalization!G46*Assumptions!$E$10+Normalization!H46*Assumptions!$E$11+Normalization!I46*Assumptions!$E$12+Normalization!J46*Assumptions!$E$13</f>
        <v/>
      </c>
      <c r="G46" s="6">
        <f>Normalization!D46*Assumptions!$F$7+Normalization!E46*Assumptions!$F$8+Normalization!F46*Assumptions!$F$9+Normalization!G46*Assumptions!$F$10+Normalization!H46*Assumptions!$F$11+Normalization!I46*Assumptions!$F$12+Normalization!J46*Assumptions!$F$13</f>
        <v/>
      </c>
      <c r="H46">
        <f>SUMPRODUCT(($C$2:$C$81=$C46)*($D$2:$D$81&gt;$D46))+1</f>
        <v/>
      </c>
      <c r="I46">
        <f>SUMPRODUCT(($C$2:$C$81=$C46)*($E$2:$E$81&gt;$E46))+1</f>
        <v/>
      </c>
      <c r="J46">
        <f>SUMPRODUCT(($C$2:$C$81=$C46)*($F$2:$F$81&gt;$F46))+1</f>
        <v/>
      </c>
      <c r="K46">
        <f>SUMPRODUCT(($C$2:$C$81=$C46)*($G$2:$G$81&gt;$G46))+1</f>
        <v/>
      </c>
    </row>
    <row r="47">
      <c r="A47">
        <f>Normalization!A47</f>
        <v/>
      </c>
      <c r="B47">
        <f>Normalization!B47</f>
        <v/>
      </c>
      <c r="C47">
        <f>Normalization!C47</f>
        <v/>
      </c>
      <c r="D47" s="6">
        <f>Normalization!D47*Assumptions!$C$7+Normalization!E47*Assumptions!$C$8+Normalization!F47*Assumptions!$C$9+Normalization!G47*Assumptions!$C$10+Normalization!H47*Assumptions!$C$11+Normalization!I47*Assumptions!$C$12+Normalization!J47*Assumptions!$C$13</f>
        <v/>
      </c>
      <c r="E47" s="6">
        <f>Normalization!D47*Assumptions!$D$7+Normalization!E47*Assumptions!$D$8+Normalization!F47*Assumptions!$D$9+Normalization!G47*Assumptions!$D$10+Normalization!H47*Assumptions!$D$11+Normalization!I47*Assumptions!$D$12+Normalization!J47*Assumptions!$D$13</f>
        <v/>
      </c>
      <c r="F47" s="6">
        <f>Normalization!D47*Assumptions!$E$7+Normalization!E47*Assumptions!$E$8+Normalization!F47*Assumptions!$E$9+Normalization!G47*Assumptions!$E$10+Normalization!H47*Assumptions!$E$11+Normalization!I47*Assumptions!$E$12+Normalization!J47*Assumptions!$E$13</f>
        <v/>
      </c>
      <c r="G47" s="6">
        <f>Normalization!D47*Assumptions!$F$7+Normalization!E47*Assumptions!$F$8+Normalization!F47*Assumptions!$F$9+Normalization!G47*Assumptions!$F$10+Normalization!H47*Assumptions!$F$11+Normalization!I47*Assumptions!$F$12+Normalization!J47*Assumptions!$F$13</f>
        <v/>
      </c>
      <c r="H47">
        <f>SUMPRODUCT(($C$2:$C$81=$C47)*($D$2:$D$81&gt;$D47))+1</f>
        <v/>
      </c>
      <c r="I47">
        <f>SUMPRODUCT(($C$2:$C$81=$C47)*($E$2:$E$81&gt;$E47))+1</f>
        <v/>
      </c>
      <c r="J47">
        <f>SUMPRODUCT(($C$2:$C$81=$C47)*($F$2:$F$81&gt;$F47))+1</f>
        <v/>
      </c>
      <c r="K47">
        <f>SUMPRODUCT(($C$2:$C$81=$C47)*($G$2:$G$81&gt;$G47))+1</f>
        <v/>
      </c>
    </row>
    <row r="48">
      <c r="A48">
        <f>Normalization!A48</f>
        <v/>
      </c>
      <c r="B48">
        <f>Normalization!B48</f>
        <v/>
      </c>
      <c r="C48">
        <f>Normalization!C48</f>
        <v/>
      </c>
      <c r="D48" s="6">
        <f>Normalization!D48*Assumptions!$C$7+Normalization!E48*Assumptions!$C$8+Normalization!F48*Assumptions!$C$9+Normalization!G48*Assumptions!$C$10+Normalization!H48*Assumptions!$C$11+Normalization!I48*Assumptions!$C$12+Normalization!J48*Assumptions!$C$13</f>
        <v/>
      </c>
      <c r="E48" s="6">
        <f>Normalization!D48*Assumptions!$D$7+Normalization!E48*Assumptions!$D$8+Normalization!F48*Assumptions!$D$9+Normalization!G48*Assumptions!$D$10+Normalization!H48*Assumptions!$D$11+Normalization!I48*Assumptions!$D$12+Normalization!J48*Assumptions!$D$13</f>
        <v/>
      </c>
      <c r="F48" s="6">
        <f>Normalization!D48*Assumptions!$E$7+Normalization!E48*Assumptions!$E$8+Normalization!F48*Assumptions!$E$9+Normalization!G48*Assumptions!$E$10+Normalization!H48*Assumptions!$E$11+Normalization!I48*Assumptions!$E$12+Normalization!J48*Assumptions!$E$13</f>
        <v/>
      </c>
      <c r="G48" s="6">
        <f>Normalization!D48*Assumptions!$F$7+Normalization!E48*Assumptions!$F$8+Normalization!F48*Assumptions!$F$9+Normalization!G48*Assumptions!$F$10+Normalization!H48*Assumptions!$F$11+Normalization!I48*Assumptions!$F$12+Normalization!J48*Assumptions!$F$13</f>
        <v/>
      </c>
      <c r="H48">
        <f>SUMPRODUCT(($C$2:$C$81=$C48)*($D$2:$D$81&gt;$D48))+1</f>
        <v/>
      </c>
      <c r="I48">
        <f>SUMPRODUCT(($C$2:$C$81=$C48)*($E$2:$E$81&gt;$E48))+1</f>
        <v/>
      </c>
      <c r="J48">
        <f>SUMPRODUCT(($C$2:$C$81=$C48)*($F$2:$F$81&gt;$F48))+1</f>
        <v/>
      </c>
      <c r="K48">
        <f>SUMPRODUCT(($C$2:$C$81=$C48)*($G$2:$G$81&gt;$G48))+1</f>
        <v/>
      </c>
    </row>
    <row r="49">
      <c r="A49">
        <f>Normalization!A49</f>
        <v/>
      </c>
      <c r="B49">
        <f>Normalization!B49</f>
        <v/>
      </c>
      <c r="C49">
        <f>Normalization!C49</f>
        <v/>
      </c>
      <c r="D49" s="6">
        <f>Normalization!D49*Assumptions!$C$7+Normalization!E49*Assumptions!$C$8+Normalization!F49*Assumptions!$C$9+Normalization!G49*Assumptions!$C$10+Normalization!H49*Assumptions!$C$11+Normalization!I49*Assumptions!$C$12+Normalization!J49*Assumptions!$C$13</f>
        <v/>
      </c>
      <c r="E49" s="6">
        <f>Normalization!D49*Assumptions!$D$7+Normalization!E49*Assumptions!$D$8+Normalization!F49*Assumptions!$D$9+Normalization!G49*Assumptions!$D$10+Normalization!H49*Assumptions!$D$11+Normalization!I49*Assumptions!$D$12+Normalization!J49*Assumptions!$D$13</f>
        <v/>
      </c>
      <c r="F49" s="6">
        <f>Normalization!D49*Assumptions!$E$7+Normalization!E49*Assumptions!$E$8+Normalization!F49*Assumptions!$E$9+Normalization!G49*Assumptions!$E$10+Normalization!H49*Assumptions!$E$11+Normalization!I49*Assumptions!$E$12+Normalization!J49*Assumptions!$E$13</f>
        <v/>
      </c>
      <c r="G49" s="6">
        <f>Normalization!D49*Assumptions!$F$7+Normalization!E49*Assumptions!$F$8+Normalization!F49*Assumptions!$F$9+Normalization!G49*Assumptions!$F$10+Normalization!H49*Assumptions!$F$11+Normalization!I49*Assumptions!$F$12+Normalization!J49*Assumptions!$F$13</f>
        <v/>
      </c>
      <c r="H49">
        <f>SUMPRODUCT(($C$2:$C$81=$C49)*($D$2:$D$81&gt;$D49))+1</f>
        <v/>
      </c>
      <c r="I49">
        <f>SUMPRODUCT(($C$2:$C$81=$C49)*($E$2:$E$81&gt;$E49))+1</f>
        <v/>
      </c>
      <c r="J49">
        <f>SUMPRODUCT(($C$2:$C$81=$C49)*($F$2:$F$81&gt;$F49))+1</f>
        <v/>
      </c>
      <c r="K49">
        <f>SUMPRODUCT(($C$2:$C$81=$C49)*($G$2:$G$81&gt;$G49))+1</f>
        <v/>
      </c>
    </row>
    <row r="50">
      <c r="A50">
        <f>Normalization!A50</f>
        <v/>
      </c>
      <c r="B50">
        <f>Normalization!B50</f>
        <v/>
      </c>
      <c r="C50">
        <f>Normalization!C50</f>
        <v/>
      </c>
      <c r="D50" s="6">
        <f>Normalization!D50*Assumptions!$C$7+Normalization!E50*Assumptions!$C$8+Normalization!F50*Assumptions!$C$9+Normalization!G50*Assumptions!$C$10+Normalization!H50*Assumptions!$C$11+Normalization!I50*Assumptions!$C$12+Normalization!J50*Assumptions!$C$13</f>
        <v/>
      </c>
      <c r="E50" s="6">
        <f>Normalization!D50*Assumptions!$D$7+Normalization!E50*Assumptions!$D$8+Normalization!F50*Assumptions!$D$9+Normalization!G50*Assumptions!$D$10+Normalization!H50*Assumptions!$D$11+Normalization!I50*Assumptions!$D$12+Normalization!J50*Assumptions!$D$13</f>
        <v/>
      </c>
      <c r="F50" s="6">
        <f>Normalization!D50*Assumptions!$E$7+Normalization!E50*Assumptions!$E$8+Normalization!F50*Assumptions!$E$9+Normalization!G50*Assumptions!$E$10+Normalization!H50*Assumptions!$E$11+Normalization!I50*Assumptions!$E$12+Normalization!J50*Assumptions!$E$13</f>
        <v/>
      </c>
      <c r="G50" s="6">
        <f>Normalization!D50*Assumptions!$F$7+Normalization!E50*Assumptions!$F$8+Normalization!F50*Assumptions!$F$9+Normalization!G50*Assumptions!$F$10+Normalization!H50*Assumptions!$F$11+Normalization!I50*Assumptions!$F$12+Normalization!J50*Assumptions!$F$13</f>
        <v/>
      </c>
      <c r="H50">
        <f>SUMPRODUCT(($C$2:$C$81=$C50)*($D$2:$D$81&gt;$D50))+1</f>
        <v/>
      </c>
      <c r="I50">
        <f>SUMPRODUCT(($C$2:$C$81=$C50)*($E$2:$E$81&gt;$E50))+1</f>
        <v/>
      </c>
      <c r="J50">
        <f>SUMPRODUCT(($C$2:$C$81=$C50)*($F$2:$F$81&gt;$F50))+1</f>
        <v/>
      </c>
      <c r="K50">
        <f>SUMPRODUCT(($C$2:$C$81=$C50)*($G$2:$G$81&gt;$G50))+1</f>
        <v/>
      </c>
    </row>
    <row r="51">
      <c r="A51">
        <f>Normalization!A51</f>
        <v/>
      </c>
      <c r="B51">
        <f>Normalization!B51</f>
        <v/>
      </c>
      <c r="C51">
        <f>Normalization!C51</f>
        <v/>
      </c>
      <c r="D51" s="6">
        <f>Normalization!D51*Assumptions!$C$7+Normalization!E51*Assumptions!$C$8+Normalization!F51*Assumptions!$C$9+Normalization!G51*Assumptions!$C$10+Normalization!H51*Assumptions!$C$11+Normalization!I51*Assumptions!$C$12+Normalization!J51*Assumptions!$C$13</f>
        <v/>
      </c>
      <c r="E51" s="6">
        <f>Normalization!D51*Assumptions!$D$7+Normalization!E51*Assumptions!$D$8+Normalization!F51*Assumptions!$D$9+Normalization!G51*Assumptions!$D$10+Normalization!H51*Assumptions!$D$11+Normalization!I51*Assumptions!$D$12+Normalization!J51*Assumptions!$D$13</f>
        <v/>
      </c>
      <c r="F51" s="6">
        <f>Normalization!D51*Assumptions!$E$7+Normalization!E51*Assumptions!$E$8+Normalization!F51*Assumptions!$E$9+Normalization!G51*Assumptions!$E$10+Normalization!H51*Assumptions!$E$11+Normalization!I51*Assumptions!$E$12+Normalization!J51*Assumptions!$E$13</f>
        <v/>
      </c>
      <c r="G51" s="6">
        <f>Normalization!D51*Assumptions!$F$7+Normalization!E51*Assumptions!$F$8+Normalization!F51*Assumptions!$F$9+Normalization!G51*Assumptions!$F$10+Normalization!H51*Assumptions!$F$11+Normalization!I51*Assumptions!$F$12+Normalization!J51*Assumptions!$F$13</f>
        <v/>
      </c>
      <c r="H51">
        <f>SUMPRODUCT(($C$2:$C$81=$C51)*($D$2:$D$81&gt;$D51))+1</f>
        <v/>
      </c>
      <c r="I51">
        <f>SUMPRODUCT(($C$2:$C$81=$C51)*($E$2:$E$81&gt;$E51))+1</f>
        <v/>
      </c>
      <c r="J51">
        <f>SUMPRODUCT(($C$2:$C$81=$C51)*($F$2:$F$81&gt;$F51))+1</f>
        <v/>
      </c>
      <c r="K51">
        <f>SUMPRODUCT(($C$2:$C$81=$C51)*($G$2:$G$81&gt;$G51))+1</f>
        <v/>
      </c>
    </row>
    <row r="52">
      <c r="A52">
        <f>Normalization!A52</f>
        <v/>
      </c>
      <c r="B52">
        <f>Normalization!B52</f>
        <v/>
      </c>
      <c r="C52">
        <f>Normalization!C52</f>
        <v/>
      </c>
      <c r="D52" s="6">
        <f>Normalization!D52*Assumptions!$C$7+Normalization!E52*Assumptions!$C$8+Normalization!F52*Assumptions!$C$9+Normalization!G52*Assumptions!$C$10+Normalization!H52*Assumptions!$C$11+Normalization!I52*Assumptions!$C$12+Normalization!J52*Assumptions!$C$13</f>
        <v/>
      </c>
      <c r="E52" s="6">
        <f>Normalization!D52*Assumptions!$D$7+Normalization!E52*Assumptions!$D$8+Normalization!F52*Assumptions!$D$9+Normalization!G52*Assumptions!$D$10+Normalization!H52*Assumptions!$D$11+Normalization!I52*Assumptions!$D$12+Normalization!J52*Assumptions!$D$13</f>
        <v/>
      </c>
      <c r="F52" s="6">
        <f>Normalization!D52*Assumptions!$E$7+Normalization!E52*Assumptions!$E$8+Normalization!F52*Assumptions!$E$9+Normalization!G52*Assumptions!$E$10+Normalization!H52*Assumptions!$E$11+Normalization!I52*Assumptions!$E$12+Normalization!J52*Assumptions!$E$13</f>
        <v/>
      </c>
      <c r="G52" s="6">
        <f>Normalization!D52*Assumptions!$F$7+Normalization!E52*Assumptions!$F$8+Normalization!F52*Assumptions!$F$9+Normalization!G52*Assumptions!$F$10+Normalization!H52*Assumptions!$F$11+Normalization!I52*Assumptions!$F$12+Normalization!J52*Assumptions!$F$13</f>
        <v/>
      </c>
      <c r="H52">
        <f>SUMPRODUCT(($C$2:$C$81=$C52)*($D$2:$D$81&gt;$D52))+1</f>
        <v/>
      </c>
      <c r="I52">
        <f>SUMPRODUCT(($C$2:$C$81=$C52)*($E$2:$E$81&gt;$E52))+1</f>
        <v/>
      </c>
      <c r="J52">
        <f>SUMPRODUCT(($C$2:$C$81=$C52)*($F$2:$F$81&gt;$F52))+1</f>
        <v/>
      </c>
      <c r="K52">
        <f>SUMPRODUCT(($C$2:$C$81=$C52)*($G$2:$G$81&gt;$G52))+1</f>
        <v/>
      </c>
    </row>
    <row r="53">
      <c r="A53">
        <f>Normalization!A53</f>
        <v/>
      </c>
      <c r="B53">
        <f>Normalization!B53</f>
        <v/>
      </c>
      <c r="C53">
        <f>Normalization!C53</f>
        <v/>
      </c>
      <c r="D53" s="6">
        <f>Normalization!D53*Assumptions!$C$7+Normalization!E53*Assumptions!$C$8+Normalization!F53*Assumptions!$C$9+Normalization!G53*Assumptions!$C$10+Normalization!H53*Assumptions!$C$11+Normalization!I53*Assumptions!$C$12+Normalization!J53*Assumptions!$C$13</f>
        <v/>
      </c>
      <c r="E53" s="6">
        <f>Normalization!D53*Assumptions!$D$7+Normalization!E53*Assumptions!$D$8+Normalization!F53*Assumptions!$D$9+Normalization!G53*Assumptions!$D$10+Normalization!H53*Assumptions!$D$11+Normalization!I53*Assumptions!$D$12+Normalization!J53*Assumptions!$D$13</f>
        <v/>
      </c>
      <c r="F53" s="6">
        <f>Normalization!D53*Assumptions!$E$7+Normalization!E53*Assumptions!$E$8+Normalization!F53*Assumptions!$E$9+Normalization!G53*Assumptions!$E$10+Normalization!H53*Assumptions!$E$11+Normalization!I53*Assumptions!$E$12+Normalization!J53*Assumptions!$E$13</f>
        <v/>
      </c>
      <c r="G53" s="6">
        <f>Normalization!D53*Assumptions!$F$7+Normalization!E53*Assumptions!$F$8+Normalization!F53*Assumptions!$F$9+Normalization!G53*Assumptions!$F$10+Normalization!H53*Assumptions!$F$11+Normalization!I53*Assumptions!$F$12+Normalization!J53*Assumptions!$F$13</f>
        <v/>
      </c>
      <c r="H53">
        <f>SUMPRODUCT(($C$2:$C$81=$C53)*($D$2:$D$81&gt;$D53))+1</f>
        <v/>
      </c>
      <c r="I53">
        <f>SUMPRODUCT(($C$2:$C$81=$C53)*($E$2:$E$81&gt;$E53))+1</f>
        <v/>
      </c>
      <c r="J53">
        <f>SUMPRODUCT(($C$2:$C$81=$C53)*($F$2:$F$81&gt;$F53))+1</f>
        <v/>
      </c>
      <c r="K53">
        <f>SUMPRODUCT(($C$2:$C$81=$C53)*($G$2:$G$81&gt;$G53))+1</f>
        <v/>
      </c>
    </row>
    <row r="54">
      <c r="A54">
        <f>Normalization!A54</f>
        <v/>
      </c>
      <c r="B54">
        <f>Normalization!B54</f>
        <v/>
      </c>
      <c r="C54">
        <f>Normalization!C54</f>
        <v/>
      </c>
      <c r="D54" s="6">
        <f>Normalization!D54*Assumptions!$C$7+Normalization!E54*Assumptions!$C$8+Normalization!F54*Assumptions!$C$9+Normalization!G54*Assumptions!$C$10+Normalization!H54*Assumptions!$C$11+Normalization!I54*Assumptions!$C$12+Normalization!J54*Assumptions!$C$13</f>
        <v/>
      </c>
      <c r="E54" s="6">
        <f>Normalization!D54*Assumptions!$D$7+Normalization!E54*Assumptions!$D$8+Normalization!F54*Assumptions!$D$9+Normalization!G54*Assumptions!$D$10+Normalization!H54*Assumptions!$D$11+Normalization!I54*Assumptions!$D$12+Normalization!J54*Assumptions!$D$13</f>
        <v/>
      </c>
      <c r="F54" s="6">
        <f>Normalization!D54*Assumptions!$E$7+Normalization!E54*Assumptions!$E$8+Normalization!F54*Assumptions!$E$9+Normalization!G54*Assumptions!$E$10+Normalization!H54*Assumptions!$E$11+Normalization!I54*Assumptions!$E$12+Normalization!J54*Assumptions!$E$13</f>
        <v/>
      </c>
      <c r="G54" s="6">
        <f>Normalization!D54*Assumptions!$F$7+Normalization!E54*Assumptions!$F$8+Normalization!F54*Assumptions!$F$9+Normalization!G54*Assumptions!$F$10+Normalization!H54*Assumptions!$F$11+Normalization!I54*Assumptions!$F$12+Normalization!J54*Assumptions!$F$13</f>
        <v/>
      </c>
      <c r="H54">
        <f>SUMPRODUCT(($C$2:$C$81=$C54)*($D$2:$D$81&gt;$D54))+1</f>
        <v/>
      </c>
      <c r="I54">
        <f>SUMPRODUCT(($C$2:$C$81=$C54)*($E$2:$E$81&gt;$E54))+1</f>
        <v/>
      </c>
      <c r="J54">
        <f>SUMPRODUCT(($C$2:$C$81=$C54)*($F$2:$F$81&gt;$F54))+1</f>
        <v/>
      </c>
      <c r="K54">
        <f>SUMPRODUCT(($C$2:$C$81=$C54)*($G$2:$G$81&gt;$G54))+1</f>
        <v/>
      </c>
    </row>
    <row r="55">
      <c r="A55">
        <f>Normalization!A55</f>
        <v/>
      </c>
      <c r="B55">
        <f>Normalization!B55</f>
        <v/>
      </c>
      <c r="C55">
        <f>Normalization!C55</f>
        <v/>
      </c>
      <c r="D55" s="6">
        <f>Normalization!D55*Assumptions!$C$7+Normalization!E55*Assumptions!$C$8+Normalization!F55*Assumptions!$C$9+Normalization!G55*Assumptions!$C$10+Normalization!H55*Assumptions!$C$11+Normalization!I55*Assumptions!$C$12+Normalization!J55*Assumptions!$C$13</f>
        <v/>
      </c>
      <c r="E55" s="6">
        <f>Normalization!D55*Assumptions!$D$7+Normalization!E55*Assumptions!$D$8+Normalization!F55*Assumptions!$D$9+Normalization!G55*Assumptions!$D$10+Normalization!H55*Assumptions!$D$11+Normalization!I55*Assumptions!$D$12+Normalization!J55*Assumptions!$D$13</f>
        <v/>
      </c>
      <c r="F55" s="6">
        <f>Normalization!D55*Assumptions!$E$7+Normalization!E55*Assumptions!$E$8+Normalization!F55*Assumptions!$E$9+Normalization!G55*Assumptions!$E$10+Normalization!H55*Assumptions!$E$11+Normalization!I55*Assumptions!$E$12+Normalization!J55*Assumptions!$E$13</f>
        <v/>
      </c>
      <c r="G55" s="6">
        <f>Normalization!D55*Assumptions!$F$7+Normalization!E55*Assumptions!$F$8+Normalization!F55*Assumptions!$F$9+Normalization!G55*Assumptions!$F$10+Normalization!H55*Assumptions!$F$11+Normalization!I55*Assumptions!$F$12+Normalization!J55*Assumptions!$F$13</f>
        <v/>
      </c>
      <c r="H55">
        <f>SUMPRODUCT(($C$2:$C$81=$C55)*($D$2:$D$81&gt;$D55))+1</f>
        <v/>
      </c>
      <c r="I55">
        <f>SUMPRODUCT(($C$2:$C$81=$C55)*($E$2:$E$81&gt;$E55))+1</f>
        <v/>
      </c>
      <c r="J55">
        <f>SUMPRODUCT(($C$2:$C$81=$C55)*($F$2:$F$81&gt;$F55))+1</f>
        <v/>
      </c>
      <c r="K55">
        <f>SUMPRODUCT(($C$2:$C$81=$C55)*($G$2:$G$81&gt;$G55))+1</f>
        <v/>
      </c>
    </row>
    <row r="56">
      <c r="A56">
        <f>Normalization!A56</f>
        <v/>
      </c>
      <c r="B56">
        <f>Normalization!B56</f>
        <v/>
      </c>
      <c r="C56">
        <f>Normalization!C56</f>
        <v/>
      </c>
      <c r="D56" s="6">
        <f>Normalization!D56*Assumptions!$C$7+Normalization!E56*Assumptions!$C$8+Normalization!F56*Assumptions!$C$9+Normalization!G56*Assumptions!$C$10+Normalization!H56*Assumptions!$C$11+Normalization!I56*Assumptions!$C$12+Normalization!J56*Assumptions!$C$13</f>
        <v/>
      </c>
      <c r="E56" s="6">
        <f>Normalization!D56*Assumptions!$D$7+Normalization!E56*Assumptions!$D$8+Normalization!F56*Assumptions!$D$9+Normalization!G56*Assumptions!$D$10+Normalization!H56*Assumptions!$D$11+Normalization!I56*Assumptions!$D$12+Normalization!J56*Assumptions!$D$13</f>
        <v/>
      </c>
      <c r="F56" s="6">
        <f>Normalization!D56*Assumptions!$E$7+Normalization!E56*Assumptions!$E$8+Normalization!F56*Assumptions!$E$9+Normalization!G56*Assumptions!$E$10+Normalization!H56*Assumptions!$E$11+Normalization!I56*Assumptions!$E$12+Normalization!J56*Assumptions!$E$13</f>
        <v/>
      </c>
      <c r="G56" s="6">
        <f>Normalization!D56*Assumptions!$F$7+Normalization!E56*Assumptions!$F$8+Normalization!F56*Assumptions!$F$9+Normalization!G56*Assumptions!$F$10+Normalization!H56*Assumptions!$F$11+Normalization!I56*Assumptions!$F$12+Normalization!J56*Assumptions!$F$13</f>
        <v/>
      </c>
      <c r="H56">
        <f>SUMPRODUCT(($C$2:$C$81=$C56)*($D$2:$D$81&gt;$D56))+1</f>
        <v/>
      </c>
      <c r="I56">
        <f>SUMPRODUCT(($C$2:$C$81=$C56)*($E$2:$E$81&gt;$E56))+1</f>
        <v/>
      </c>
      <c r="J56">
        <f>SUMPRODUCT(($C$2:$C$81=$C56)*($F$2:$F$81&gt;$F56))+1</f>
        <v/>
      </c>
      <c r="K56">
        <f>SUMPRODUCT(($C$2:$C$81=$C56)*($G$2:$G$81&gt;$G56))+1</f>
        <v/>
      </c>
    </row>
    <row r="57">
      <c r="A57">
        <f>Normalization!A57</f>
        <v/>
      </c>
      <c r="B57">
        <f>Normalization!B57</f>
        <v/>
      </c>
      <c r="C57">
        <f>Normalization!C57</f>
        <v/>
      </c>
      <c r="D57" s="6">
        <f>Normalization!D57*Assumptions!$C$7+Normalization!E57*Assumptions!$C$8+Normalization!F57*Assumptions!$C$9+Normalization!G57*Assumptions!$C$10+Normalization!H57*Assumptions!$C$11+Normalization!I57*Assumptions!$C$12+Normalization!J57*Assumptions!$C$13</f>
        <v/>
      </c>
      <c r="E57" s="6">
        <f>Normalization!D57*Assumptions!$D$7+Normalization!E57*Assumptions!$D$8+Normalization!F57*Assumptions!$D$9+Normalization!G57*Assumptions!$D$10+Normalization!H57*Assumptions!$D$11+Normalization!I57*Assumptions!$D$12+Normalization!J57*Assumptions!$D$13</f>
        <v/>
      </c>
      <c r="F57" s="6">
        <f>Normalization!D57*Assumptions!$E$7+Normalization!E57*Assumptions!$E$8+Normalization!F57*Assumptions!$E$9+Normalization!G57*Assumptions!$E$10+Normalization!H57*Assumptions!$E$11+Normalization!I57*Assumptions!$E$12+Normalization!J57*Assumptions!$E$13</f>
        <v/>
      </c>
      <c r="G57" s="6">
        <f>Normalization!D57*Assumptions!$F$7+Normalization!E57*Assumptions!$F$8+Normalization!F57*Assumptions!$F$9+Normalization!G57*Assumptions!$F$10+Normalization!H57*Assumptions!$F$11+Normalization!I57*Assumptions!$F$12+Normalization!J57*Assumptions!$F$13</f>
        <v/>
      </c>
      <c r="H57">
        <f>SUMPRODUCT(($C$2:$C$81=$C57)*($D$2:$D$81&gt;$D57))+1</f>
        <v/>
      </c>
      <c r="I57">
        <f>SUMPRODUCT(($C$2:$C$81=$C57)*($E$2:$E$81&gt;$E57))+1</f>
        <v/>
      </c>
      <c r="J57">
        <f>SUMPRODUCT(($C$2:$C$81=$C57)*($F$2:$F$81&gt;$F57))+1</f>
        <v/>
      </c>
      <c r="K57">
        <f>SUMPRODUCT(($C$2:$C$81=$C57)*($G$2:$G$81&gt;$G57))+1</f>
        <v/>
      </c>
    </row>
    <row r="58">
      <c r="A58">
        <f>Normalization!A58</f>
        <v/>
      </c>
      <c r="B58">
        <f>Normalization!B58</f>
        <v/>
      </c>
      <c r="C58">
        <f>Normalization!C58</f>
        <v/>
      </c>
      <c r="D58" s="6">
        <f>Normalization!D58*Assumptions!$C$7+Normalization!E58*Assumptions!$C$8+Normalization!F58*Assumptions!$C$9+Normalization!G58*Assumptions!$C$10+Normalization!H58*Assumptions!$C$11+Normalization!I58*Assumptions!$C$12+Normalization!J58*Assumptions!$C$13</f>
        <v/>
      </c>
      <c r="E58" s="6">
        <f>Normalization!D58*Assumptions!$D$7+Normalization!E58*Assumptions!$D$8+Normalization!F58*Assumptions!$D$9+Normalization!G58*Assumptions!$D$10+Normalization!H58*Assumptions!$D$11+Normalization!I58*Assumptions!$D$12+Normalization!J58*Assumptions!$D$13</f>
        <v/>
      </c>
      <c r="F58" s="6">
        <f>Normalization!D58*Assumptions!$E$7+Normalization!E58*Assumptions!$E$8+Normalization!F58*Assumptions!$E$9+Normalization!G58*Assumptions!$E$10+Normalization!H58*Assumptions!$E$11+Normalization!I58*Assumptions!$E$12+Normalization!J58*Assumptions!$E$13</f>
        <v/>
      </c>
      <c r="G58" s="6">
        <f>Normalization!D58*Assumptions!$F$7+Normalization!E58*Assumptions!$F$8+Normalization!F58*Assumptions!$F$9+Normalization!G58*Assumptions!$F$10+Normalization!H58*Assumptions!$F$11+Normalization!I58*Assumptions!$F$12+Normalization!J58*Assumptions!$F$13</f>
        <v/>
      </c>
      <c r="H58">
        <f>SUMPRODUCT(($C$2:$C$81=$C58)*($D$2:$D$81&gt;$D58))+1</f>
        <v/>
      </c>
      <c r="I58">
        <f>SUMPRODUCT(($C$2:$C$81=$C58)*($E$2:$E$81&gt;$E58))+1</f>
        <v/>
      </c>
      <c r="J58">
        <f>SUMPRODUCT(($C$2:$C$81=$C58)*($F$2:$F$81&gt;$F58))+1</f>
        <v/>
      </c>
      <c r="K58">
        <f>SUMPRODUCT(($C$2:$C$81=$C58)*($G$2:$G$81&gt;$G58))+1</f>
        <v/>
      </c>
    </row>
    <row r="59">
      <c r="A59">
        <f>Normalization!A59</f>
        <v/>
      </c>
      <c r="B59">
        <f>Normalization!B59</f>
        <v/>
      </c>
      <c r="C59">
        <f>Normalization!C59</f>
        <v/>
      </c>
      <c r="D59" s="6">
        <f>Normalization!D59*Assumptions!$C$7+Normalization!E59*Assumptions!$C$8+Normalization!F59*Assumptions!$C$9+Normalization!G59*Assumptions!$C$10+Normalization!H59*Assumptions!$C$11+Normalization!I59*Assumptions!$C$12+Normalization!J59*Assumptions!$C$13</f>
        <v/>
      </c>
      <c r="E59" s="6">
        <f>Normalization!D59*Assumptions!$D$7+Normalization!E59*Assumptions!$D$8+Normalization!F59*Assumptions!$D$9+Normalization!G59*Assumptions!$D$10+Normalization!H59*Assumptions!$D$11+Normalization!I59*Assumptions!$D$12+Normalization!J59*Assumptions!$D$13</f>
        <v/>
      </c>
      <c r="F59" s="6">
        <f>Normalization!D59*Assumptions!$E$7+Normalization!E59*Assumptions!$E$8+Normalization!F59*Assumptions!$E$9+Normalization!G59*Assumptions!$E$10+Normalization!H59*Assumptions!$E$11+Normalization!I59*Assumptions!$E$12+Normalization!J59*Assumptions!$E$13</f>
        <v/>
      </c>
      <c r="G59" s="6">
        <f>Normalization!D59*Assumptions!$F$7+Normalization!E59*Assumptions!$F$8+Normalization!F59*Assumptions!$F$9+Normalization!G59*Assumptions!$F$10+Normalization!H59*Assumptions!$F$11+Normalization!I59*Assumptions!$F$12+Normalization!J59*Assumptions!$F$13</f>
        <v/>
      </c>
      <c r="H59">
        <f>SUMPRODUCT(($C$2:$C$81=$C59)*($D$2:$D$81&gt;$D59))+1</f>
        <v/>
      </c>
      <c r="I59">
        <f>SUMPRODUCT(($C$2:$C$81=$C59)*($E$2:$E$81&gt;$E59))+1</f>
        <v/>
      </c>
      <c r="J59">
        <f>SUMPRODUCT(($C$2:$C$81=$C59)*($F$2:$F$81&gt;$F59))+1</f>
        <v/>
      </c>
      <c r="K59">
        <f>SUMPRODUCT(($C$2:$C$81=$C59)*($G$2:$G$81&gt;$G59))+1</f>
        <v/>
      </c>
    </row>
    <row r="60">
      <c r="A60">
        <f>Normalization!A60</f>
        <v/>
      </c>
      <c r="B60">
        <f>Normalization!B60</f>
        <v/>
      </c>
      <c r="C60">
        <f>Normalization!C60</f>
        <v/>
      </c>
      <c r="D60" s="6">
        <f>Normalization!D60*Assumptions!$C$7+Normalization!E60*Assumptions!$C$8+Normalization!F60*Assumptions!$C$9+Normalization!G60*Assumptions!$C$10+Normalization!H60*Assumptions!$C$11+Normalization!I60*Assumptions!$C$12+Normalization!J60*Assumptions!$C$13</f>
        <v/>
      </c>
      <c r="E60" s="6">
        <f>Normalization!D60*Assumptions!$D$7+Normalization!E60*Assumptions!$D$8+Normalization!F60*Assumptions!$D$9+Normalization!G60*Assumptions!$D$10+Normalization!H60*Assumptions!$D$11+Normalization!I60*Assumptions!$D$12+Normalization!J60*Assumptions!$D$13</f>
        <v/>
      </c>
      <c r="F60" s="6">
        <f>Normalization!D60*Assumptions!$E$7+Normalization!E60*Assumptions!$E$8+Normalization!F60*Assumptions!$E$9+Normalization!G60*Assumptions!$E$10+Normalization!H60*Assumptions!$E$11+Normalization!I60*Assumptions!$E$12+Normalization!J60*Assumptions!$E$13</f>
        <v/>
      </c>
      <c r="G60" s="6">
        <f>Normalization!D60*Assumptions!$F$7+Normalization!E60*Assumptions!$F$8+Normalization!F60*Assumptions!$F$9+Normalization!G60*Assumptions!$F$10+Normalization!H60*Assumptions!$F$11+Normalization!I60*Assumptions!$F$12+Normalization!J60*Assumptions!$F$13</f>
        <v/>
      </c>
      <c r="H60">
        <f>SUMPRODUCT(($C$2:$C$81=$C60)*($D$2:$D$81&gt;$D60))+1</f>
        <v/>
      </c>
      <c r="I60">
        <f>SUMPRODUCT(($C$2:$C$81=$C60)*($E$2:$E$81&gt;$E60))+1</f>
        <v/>
      </c>
      <c r="J60">
        <f>SUMPRODUCT(($C$2:$C$81=$C60)*($F$2:$F$81&gt;$F60))+1</f>
        <v/>
      </c>
      <c r="K60">
        <f>SUMPRODUCT(($C$2:$C$81=$C60)*($G$2:$G$81&gt;$G60))+1</f>
        <v/>
      </c>
    </row>
    <row r="61">
      <c r="A61">
        <f>Normalization!A61</f>
        <v/>
      </c>
      <c r="B61">
        <f>Normalization!B61</f>
        <v/>
      </c>
      <c r="C61">
        <f>Normalization!C61</f>
        <v/>
      </c>
      <c r="D61" s="6">
        <f>Normalization!D61*Assumptions!$C$7+Normalization!E61*Assumptions!$C$8+Normalization!F61*Assumptions!$C$9+Normalization!G61*Assumptions!$C$10+Normalization!H61*Assumptions!$C$11+Normalization!I61*Assumptions!$C$12+Normalization!J61*Assumptions!$C$13</f>
        <v/>
      </c>
      <c r="E61" s="6">
        <f>Normalization!D61*Assumptions!$D$7+Normalization!E61*Assumptions!$D$8+Normalization!F61*Assumptions!$D$9+Normalization!G61*Assumptions!$D$10+Normalization!H61*Assumptions!$D$11+Normalization!I61*Assumptions!$D$12+Normalization!J61*Assumptions!$D$13</f>
        <v/>
      </c>
      <c r="F61" s="6">
        <f>Normalization!D61*Assumptions!$E$7+Normalization!E61*Assumptions!$E$8+Normalization!F61*Assumptions!$E$9+Normalization!G61*Assumptions!$E$10+Normalization!H61*Assumptions!$E$11+Normalization!I61*Assumptions!$E$12+Normalization!J61*Assumptions!$E$13</f>
        <v/>
      </c>
      <c r="G61" s="6">
        <f>Normalization!D61*Assumptions!$F$7+Normalization!E61*Assumptions!$F$8+Normalization!F61*Assumptions!$F$9+Normalization!G61*Assumptions!$F$10+Normalization!H61*Assumptions!$F$11+Normalization!I61*Assumptions!$F$12+Normalization!J61*Assumptions!$F$13</f>
        <v/>
      </c>
      <c r="H61">
        <f>SUMPRODUCT(($C$2:$C$81=$C61)*($D$2:$D$81&gt;$D61))+1</f>
        <v/>
      </c>
      <c r="I61">
        <f>SUMPRODUCT(($C$2:$C$81=$C61)*($E$2:$E$81&gt;$E61))+1</f>
        <v/>
      </c>
      <c r="J61">
        <f>SUMPRODUCT(($C$2:$C$81=$C61)*($F$2:$F$81&gt;$F61))+1</f>
        <v/>
      </c>
      <c r="K61">
        <f>SUMPRODUCT(($C$2:$C$81=$C61)*($G$2:$G$81&gt;$G61))+1</f>
        <v/>
      </c>
    </row>
    <row r="62">
      <c r="A62">
        <f>Normalization!A62</f>
        <v/>
      </c>
      <c r="B62">
        <f>Normalization!B62</f>
        <v/>
      </c>
      <c r="C62">
        <f>Normalization!C62</f>
        <v/>
      </c>
      <c r="D62" s="6">
        <f>Normalization!D62*Assumptions!$C$7+Normalization!E62*Assumptions!$C$8+Normalization!F62*Assumptions!$C$9+Normalization!G62*Assumptions!$C$10+Normalization!H62*Assumptions!$C$11+Normalization!I62*Assumptions!$C$12+Normalization!J62*Assumptions!$C$13</f>
        <v/>
      </c>
      <c r="E62" s="6">
        <f>Normalization!D62*Assumptions!$D$7+Normalization!E62*Assumptions!$D$8+Normalization!F62*Assumptions!$D$9+Normalization!G62*Assumptions!$D$10+Normalization!H62*Assumptions!$D$11+Normalization!I62*Assumptions!$D$12+Normalization!J62*Assumptions!$D$13</f>
        <v/>
      </c>
      <c r="F62" s="6">
        <f>Normalization!D62*Assumptions!$E$7+Normalization!E62*Assumptions!$E$8+Normalization!F62*Assumptions!$E$9+Normalization!G62*Assumptions!$E$10+Normalization!H62*Assumptions!$E$11+Normalization!I62*Assumptions!$E$12+Normalization!J62*Assumptions!$E$13</f>
        <v/>
      </c>
      <c r="G62" s="6">
        <f>Normalization!D62*Assumptions!$F$7+Normalization!E62*Assumptions!$F$8+Normalization!F62*Assumptions!$F$9+Normalization!G62*Assumptions!$F$10+Normalization!H62*Assumptions!$F$11+Normalization!I62*Assumptions!$F$12+Normalization!J62*Assumptions!$F$13</f>
        <v/>
      </c>
      <c r="H62">
        <f>SUMPRODUCT(($C$2:$C$81=$C62)*($D$2:$D$81&gt;$D62))+1</f>
        <v/>
      </c>
      <c r="I62">
        <f>SUMPRODUCT(($C$2:$C$81=$C62)*($E$2:$E$81&gt;$E62))+1</f>
        <v/>
      </c>
      <c r="J62">
        <f>SUMPRODUCT(($C$2:$C$81=$C62)*($F$2:$F$81&gt;$F62))+1</f>
        <v/>
      </c>
      <c r="K62">
        <f>SUMPRODUCT(($C$2:$C$81=$C62)*($G$2:$G$81&gt;$G62))+1</f>
        <v/>
      </c>
    </row>
    <row r="63">
      <c r="A63">
        <f>Normalization!A63</f>
        <v/>
      </c>
      <c r="B63">
        <f>Normalization!B63</f>
        <v/>
      </c>
      <c r="C63">
        <f>Normalization!C63</f>
        <v/>
      </c>
      <c r="D63" s="6">
        <f>Normalization!D63*Assumptions!$C$7+Normalization!E63*Assumptions!$C$8+Normalization!F63*Assumptions!$C$9+Normalization!G63*Assumptions!$C$10+Normalization!H63*Assumptions!$C$11+Normalization!I63*Assumptions!$C$12+Normalization!J63*Assumptions!$C$13</f>
        <v/>
      </c>
      <c r="E63" s="6">
        <f>Normalization!D63*Assumptions!$D$7+Normalization!E63*Assumptions!$D$8+Normalization!F63*Assumptions!$D$9+Normalization!G63*Assumptions!$D$10+Normalization!H63*Assumptions!$D$11+Normalization!I63*Assumptions!$D$12+Normalization!J63*Assumptions!$D$13</f>
        <v/>
      </c>
      <c r="F63" s="6">
        <f>Normalization!D63*Assumptions!$E$7+Normalization!E63*Assumptions!$E$8+Normalization!F63*Assumptions!$E$9+Normalization!G63*Assumptions!$E$10+Normalization!H63*Assumptions!$E$11+Normalization!I63*Assumptions!$E$12+Normalization!J63*Assumptions!$E$13</f>
        <v/>
      </c>
      <c r="G63" s="6">
        <f>Normalization!D63*Assumptions!$F$7+Normalization!E63*Assumptions!$F$8+Normalization!F63*Assumptions!$F$9+Normalization!G63*Assumptions!$F$10+Normalization!H63*Assumptions!$F$11+Normalization!I63*Assumptions!$F$12+Normalization!J63*Assumptions!$F$13</f>
        <v/>
      </c>
      <c r="H63">
        <f>SUMPRODUCT(($C$2:$C$81=$C63)*($D$2:$D$81&gt;$D63))+1</f>
        <v/>
      </c>
      <c r="I63">
        <f>SUMPRODUCT(($C$2:$C$81=$C63)*($E$2:$E$81&gt;$E63))+1</f>
        <v/>
      </c>
      <c r="J63">
        <f>SUMPRODUCT(($C$2:$C$81=$C63)*($F$2:$F$81&gt;$F63))+1</f>
        <v/>
      </c>
      <c r="K63">
        <f>SUMPRODUCT(($C$2:$C$81=$C63)*($G$2:$G$81&gt;$G63))+1</f>
        <v/>
      </c>
    </row>
    <row r="64">
      <c r="A64">
        <f>Normalization!A64</f>
        <v/>
      </c>
      <c r="B64">
        <f>Normalization!B64</f>
        <v/>
      </c>
      <c r="C64">
        <f>Normalization!C64</f>
        <v/>
      </c>
      <c r="D64" s="6">
        <f>Normalization!D64*Assumptions!$C$7+Normalization!E64*Assumptions!$C$8+Normalization!F64*Assumptions!$C$9+Normalization!G64*Assumptions!$C$10+Normalization!H64*Assumptions!$C$11+Normalization!I64*Assumptions!$C$12+Normalization!J64*Assumptions!$C$13</f>
        <v/>
      </c>
      <c r="E64" s="6">
        <f>Normalization!D64*Assumptions!$D$7+Normalization!E64*Assumptions!$D$8+Normalization!F64*Assumptions!$D$9+Normalization!G64*Assumptions!$D$10+Normalization!H64*Assumptions!$D$11+Normalization!I64*Assumptions!$D$12+Normalization!J64*Assumptions!$D$13</f>
        <v/>
      </c>
      <c r="F64" s="6">
        <f>Normalization!D64*Assumptions!$E$7+Normalization!E64*Assumptions!$E$8+Normalization!F64*Assumptions!$E$9+Normalization!G64*Assumptions!$E$10+Normalization!H64*Assumptions!$E$11+Normalization!I64*Assumptions!$E$12+Normalization!J64*Assumptions!$E$13</f>
        <v/>
      </c>
      <c r="G64" s="6">
        <f>Normalization!D64*Assumptions!$F$7+Normalization!E64*Assumptions!$F$8+Normalization!F64*Assumptions!$F$9+Normalization!G64*Assumptions!$F$10+Normalization!H64*Assumptions!$F$11+Normalization!I64*Assumptions!$F$12+Normalization!J64*Assumptions!$F$13</f>
        <v/>
      </c>
      <c r="H64">
        <f>SUMPRODUCT(($C$2:$C$81=$C64)*($D$2:$D$81&gt;$D64))+1</f>
        <v/>
      </c>
      <c r="I64">
        <f>SUMPRODUCT(($C$2:$C$81=$C64)*($E$2:$E$81&gt;$E64))+1</f>
        <v/>
      </c>
      <c r="J64">
        <f>SUMPRODUCT(($C$2:$C$81=$C64)*($F$2:$F$81&gt;$F64))+1</f>
        <v/>
      </c>
      <c r="K64">
        <f>SUMPRODUCT(($C$2:$C$81=$C64)*($G$2:$G$81&gt;$G64))+1</f>
        <v/>
      </c>
    </row>
    <row r="65">
      <c r="A65">
        <f>Normalization!A65</f>
        <v/>
      </c>
      <c r="B65">
        <f>Normalization!B65</f>
        <v/>
      </c>
      <c r="C65">
        <f>Normalization!C65</f>
        <v/>
      </c>
      <c r="D65" s="6">
        <f>Normalization!D65*Assumptions!$C$7+Normalization!E65*Assumptions!$C$8+Normalization!F65*Assumptions!$C$9+Normalization!G65*Assumptions!$C$10+Normalization!H65*Assumptions!$C$11+Normalization!I65*Assumptions!$C$12+Normalization!J65*Assumptions!$C$13</f>
        <v/>
      </c>
      <c r="E65" s="6">
        <f>Normalization!D65*Assumptions!$D$7+Normalization!E65*Assumptions!$D$8+Normalization!F65*Assumptions!$D$9+Normalization!G65*Assumptions!$D$10+Normalization!H65*Assumptions!$D$11+Normalization!I65*Assumptions!$D$12+Normalization!J65*Assumptions!$D$13</f>
        <v/>
      </c>
      <c r="F65" s="6">
        <f>Normalization!D65*Assumptions!$E$7+Normalization!E65*Assumptions!$E$8+Normalization!F65*Assumptions!$E$9+Normalization!G65*Assumptions!$E$10+Normalization!H65*Assumptions!$E$11+Normalization!I65*Assumptions!$E$12+Normalization!J65*Assumptions!$E$13</f>
        <v/>
      </c>
      <c r="G65" s="6">
        <f>Normalization!D65*Assumptions!$F$7+Normalization!E65*Assumptions!$F$8+Normalization!F65*Assumptions!$F$9+Normalization!G65*Assumptions!$F$10+Normalization!H65*Assumptions!$F$11+Normalization!I65*Assumptions!$F$12+Normalization!J65*Assumptions!$F$13</f>
        <v/>
      </c>
      <c r="H65">
        <f>SUMPRODUCT(($C$2:$C$81=$C65)*($D$2:$D$81&gt;$D65))+1</f>
        <v/>
      </c>
      <c r="I65">
        <f>SUMPRODUCT(($C$2:$C$81=$C65)*($E$2:$E$81&gt;$E65))+1</f>
        <v/>
      </c>
      <c r="J65">
        <f>SUMPRODUCT(($C$2:$C$81=$C65)*($F$2:$F$81&gt;$F65))+1</f>
        <v/>
      </c>
      <c r="K65">
        <f>SUMPRODUCT(($C$2:$C$81=$C65)*($G$2:$G$81&gt;$G65))+1</f>
        <v/>
      </c>
    </row>
    <row r="66">
      <c r="A66">
        <f>Normalization!A66</f>
        <v/>
      </c>
      <c r="B66">
        <f>Normalization!B66</f>
        <v/>
      </c>
      <c r="C66">
        <f>Normalization!C66</f>
        <v/>
      </c>
      <c r="D66" s="6">
        <f>Normalization!D66*Assumptions!$C$7+Normalization!E66*Assumptions!$C$8+Normalization!F66*Assumptions!$C$9+Normalization!G66*Assumptions!$C$10+Normalization!H66*Assumptions!$C$11+Normalization!I66*Assumptions!$C$12+Normalization!J66*Assumptions!$C$13</f>
        <v/>
      </c>
      <c r="E66" s="6">
        <f>Normalization!D66*Assumptions!$D$7+Normalization!E66*Assumptions!$D$8+Normalization!F66*Assumptions!$D$9+Normalization!G66*Assumptions!$D$10+Normalization!H66*Assumptions!$D$11+Normalization!I66*Assumptions!$D$12+Normalization!J66*Assumptions!$D$13</f>
        <v/>
      </c>
      <c r="F66" s="6">
        <f>Normalization!D66*Assumptions!$E$7+Normalization!E66*Assumptions!$E$8+Normalization!F66*Assumptions!$E$9+Normalization!G66*Assumptions!$E$10+Normalization!H66*Assumptions!$E$11+Normalization!I66*Assumptions!$E$12+Normalization!J66*Assumptions!$E$13</f>
        <v/>
      </c>
      <c r="G66" s="6">
        <f>Normalization!D66*Assumptions!$F$7+Normalization!E66*Assumptions!$F$8+Normalization!F66*Assumptions!$F$9+Normalization!G66*Assumptions!$F$10+Normalization!H66*Assumptions!$F$11+Normalization!I66*Assumptions!$F$12+Normalization!J66*Assumptions!$F$13</f>
        <v/>
      </c>
      <c r="H66">
        <f>SUMPRODUCT(($C$2:$C$81=$C66)*($D$2:$D$81&gt;$D66))+1</f>
        <v/>
      </c>
      <c r="I66">
        <f>SUMPRODUCT(($C$2:$C$81=$C66)*($E$2:$E$81&gt;$E66))+1</f>
        <v/>
      </c>
      <c r="J66">
        <f>SUMPRODUCT(($C$2:$C$81=$C66)*($F$2:$F$81&gt;$F66))+1</f>
        <v/>
      </c>
      <c r="K66">
        <f>SUMPRODUCT(($C$2:$C$81=$C66)*($G$2:$G$81&gt;$G66))+1</f>
        <v/>
      </c>
    </row>
    <row r="67">
      <c r="A67">
        <f>Normalization!A67</f>
        <v/>
      </c>
      <c r="B67">
        <f>Normalization!B67</f>
        <v/>
      </c>
      <c r="C67">
        <f>Normalization!C67</f>
        <v/>
      </c>
      <c r="D67" s="6">
        <f>Normalization!D67*Assumptions!$C$7+Normalization!E67*Assumptions!$C$8+Normalization!F67*Assumptions!$C$9+Normalization!G67*Assumptions!$C$10+Normalization!H67*Assumptions!$C$11+Normalization!I67*Assumptions!$C$12+Normalization!J67*Assumptions!$C$13</f>
        <v/>
      </c>
      <c r="E67" s="6">
        <f>Normalization!D67*Assumptions!$D$7+Normalization!E67*Assumptions!$D$8+Normalization!F67*Assumptions!$D$9+Normalization!G67*Assumptions!$D$10+Normalization!H67*Assumptions!$D$11+Normalization!I67*Assumptions!$D$12+Normalization!J67*Assumptions!$D$13</f>
        <v/>
      </c>
      <c r="F67" s="6">
        <f>Normalization!D67*Assumptions!$E$7+Normalization!E67*Assumptions!$E$8+Normalization!F67*Assumptions!$E$9+Normalization!G67*Assumptions!$E$10+Normalization!H67*Assumptions!$E$11+Normalization!I67*Assumptions!$E$12+Normalization!J67*Assumptions!$E$13</f>
        <v/>
      </c>
      <c r="G67" s="6">
        <f>Normalization!D67*Assumptions!$F$7+Normalization!E67*Assumptions!$F$8+Normalization!F67*Assumptions!$F$9+Normalization!G67*Assumptions!$F$10+Normalization!H67*Assumptions!$F$11+Normalization!I67*Assumptions!$F$12+Normalization!J67*Assumptions!$F$13</f>
        <v/>
      </c>
      <c r="H67">
        <f>SUMPRODUCT(($C$2:$C$81=$C67)*($D$2:$D$81&gt;$D67))+1</f>
        <v/>
      </c>
      <c r="I67">
        <f>SUMPRODUCT(($C$2:$C$81=$C67)*($E$2:$E$81&gt;$E67))+1</f>
        <v/>
      </c>
      <c r="J67">
        <f>SUMPRODUCT(($C$2:$C$81=$C67)*($F$2:$F$81&gt;$F67))+1</f>
        <v/>
      </c>
      <c r="K67">
        <f>SUMPRODUCT(($C$2:$C$81=$C67)*($G$2:$G$81&gt;$G67))+1</f>
        <v/>
      </c>
    </row>
    <row r="68">
      <c r="A68">
        <f>Normalization!A68</f>
        <v/>
      </c>
      <c r="B68">
        <f>Normalization!B68</f>
        <v/>
      </c>
      <c r="C68">
        <f>Normalization!C68</f>
        <v/>
      </c>
      <c r="D68" s="6">
        <f>Normalization!D68*Assumptions!$C$7+Normalization!E68*Assumptions!$C$8+Normalization!F68*Assumptions!$C$9+Normalization!G68*Assumptions!$C$10+Normalization!H68*Assumptions!$C$11+Normalization!I68*Assumptions!$C$12+Normalization!J68*Assumptions!$C$13</f>
        <v/>
      </c>
      <c r="E68" s="6">
        <f>Normalization!D68*Assumptions!$D$7+Normalization!E68*Assumptions!$D$8+Normalization!F68*Assumptions!$D$9+Normalization!G68*Assumptions!$D$10+Normalization!H68*Assumptions!$D$11+Normalization!I68*Assumptions!$D$12+Normalization!J68*Assumptions!$D$13</f>
        <v/>
      </c>
      <c r="F68" s="6">
        <f>Normalization!D68*Assumptions!$E$7+Normalization!E68*Assumptions!$E$8+Normalization!F68*Assumptions!$E$9+Normalization!G68*Assumptions!$E$10+Normalization!H68*Assumptions!$E$11+Normalization!I68*Assumptions!$E$12+Normalization!J68*Assumptions!$E$13</f>
        <v/>
      </c>
      <c r="G68" s="6">
        <f>Normalization!D68*Assumptions!$F$7+Normalization!E68*Assumptions!$F$8+Normalization!F68*Assumptions!$F$9+Normalization!G68*Assumptions!$F$10+Normalization!H68*Assumptions!$F$11+Normalization!I68*Assumptions!$F$12+Normalization!J68*Assumptions!$F$13</f>
        <v/>
      </c>
      <c r="H68">
        <f>SUMPRODUCT(($C$2:$C$81=$C68)*($D$2:$D$81&gt;$D68))+1</f>
        <v/>
      </c>
      <c r="I68">
        <f>SUMPRODUCT(($C$2:$C$81=$C68)*($E$2:$E$81&gt;$E68))+1</f>
        <v/>
      </c>
      <c r="J68">
        <f>SUMPRODUCT(($C$2:$C$81=$C68)*($F$2:$F$81&gt;$F68))+1</f>
        <v/>
      </c>
      <c r="K68">
        <f>SUMPRODUCT(($C$2:$C$81=$C68)*($G$2:$G$81&gt;$G68))+1</f>
        <v/>
      </c>
    </row>
    <row r="69">
      <c r="A69">
        <f>Normalization!A69</f>
        <v/>
      </c>
      <c r="B69">
        <f>Normalization!B69</f>
        <v/>
      </c>
      <c r="C69">
        <f>Normalization!C69</f>
        <v/>
      </c>
      <c r="D69" s="6">
        <f>Normalization!D69*Assumptions!$C$7+Normalization!E69*Assumptions!$C$8+Normalization!F69*Assumptions!$C$9+Normalization!G69*Assumptions!$C$10+Normalization!H69*Assumptions!$C$11+Normalization!I69*Assumptions!$C$12+Normalization!J69*Assumptions!$C$13</f>
        <v/>
      </c>
      <c r="E69" s="6">
        <f>Normalization!D69*Assumptions!$D$7+Normalization!E69*Assumptions!$D$8+Normalization!F69*Assumptions!$D$9+Normalization!G69*Assumptions!$D$10+Normalization!H69*Assumptions!$D$11+Normalization!I69*Assumptions!$D$12+Normalization!J69*Assumptions!$D$13</f>
        <v/>
      </c>
      <c r="F69" s="6">
        <f>Normalization!D69*Assumptions!$E$7+Normalization!E69*Assumptions!$E$8+Normalization!F69*Assumptions!$E$9+Normalization!G69*Assumptions!$E$10+Normalization!H69*Assumptions!$E$11+Normalization!I69*Assumptions!$E$12+Normalization!J69*Assumptions!$E$13</f>
        <v/>
      </c>
      <c r="G69" s="6">
        <f>Normalization!D69*Assumptions!$F$7+Normalization!E69*Assumptions!$F$8+Normalization!F69*Assumptions!$F$9+Normalization!G69*Assumptions!$F$10+Normalization!H69*Assumptions!$F$11+Normalization!I69*Assumptions!$F$12+Normalization!J69*Assumptions!$F$13</f>
        <v/>
      </c>
      <c r="H69">
        <f>SUMPRODUCT(($C$2:$C$81=$C69)*($D$2:$D$81&gt;$D69))+1</f>
        <v/>
      </c>
      <c r="I69">
        <f>SUMPRODUCT(($C$2:$C$81=$C69)*($E$2:$E$81&gt;$E69))+1</f>
        <v/>
      </c>
      <c r="J69">
        <f>SUMPRODUCT(($C$2:$C$81=$C69)*($F$2:$F$81&gt;$F69))+1</f>
        <v/>
      </c>
      <c r="K69">
        <f>SUMPRODUCT(($C$2:$C$81=$C69)*($G$2:$G$81&gt;$G69))+1</f>
        <v/>
      </c>
    </row>
    <row r="70">
      <c r="A70">
        <f>Normalization!A70</f>
        <v/>
      </c>
      <c r="B70">
        <f>Normalization!B70</f>
        <v/>
      </c>
      <c r="C70">
        <f>Normalization!C70</f>
        <v/>
      </c>
      <c r="D70" s="6">
        <f>Normalization!D70*Assumptions!$C$7+Normalization!E70*Assumptions!$C$8+Normalization!F70*Assumptions!$C$9+Normalization!G70*Assumptions!$C$10+Normalization!H70*Assumptions!$C$11+Normalization!I70*Assumptions!$C$12+Normalization!J70*Assumptions!$C$13</f>
        <v/>
      </c>
      <c r="E70" s="6">
        <f>Normalization!D70*Assumptions!$D$7+Normalization!E70*Assumptions!$D$8+Normalization!F70*Assumptions!$D$9+Normalization!G70*Assumptions!$D$10+Normalization!H70*Assumptions!$D$11+Normalization!I70*Assumptions!$D$12+Normalization!J70*Assumptions!$D$13</f>
        <v/>
      </c>
      <c r="F70" s="6">
        <f>Normalization!D70*Assumptions!$E$7+Normalization!E70*Assumptions!$E$8+Normalization!F70*Assumptions!$E$9+Normalization!G70*Assumptions!$E$10+Normalization!H70*Assumptions!$E$11+Normalization!I70*Assumptions!$E$12+Normalization!J70*Assumptions!$E$13</f>
        <v/>
      </c>
      <c r="G70" s="6">
        <f>Normalization!D70*Assumptions!$F$7+Normalization!E70*Assumptions!$F$8+Normalization!F70*Assumptions!$F$9+Normalization!G70*Assumptions!$F$10+Normalization!H70*Assumptions!$F$11+Normalization!I70*Assumptions!$F$12+Normalization!J70*Assumptions!$F$13</f>
        <v/>
      </c>
      <c r="H70">
        <f>SUMPRODUCT(($C$2:$C$81=$C70)*($D$2:$D$81&gt;$D70))+1</f>
        <v/>
      </c>
      <c r="I70">
        <f>SUMPRODUCT(($C$2:$C$81=$C70)*($E$2:$E$81&gt;$E70))+1</f>
        <v/>
      </c>
      <c r="J70">
        <f>SUMPRODUCT(($C$2:$C$81=$C70)*($F$2:$F$81&gt;$F70))+1</f>
        <v/>
      </c>
      <c r="K70">
        <f>SUMPRODUCT(($C$2:$C$81=$C70)*($G$2:$G$81&gt;$G70))+1</f>
        <v/>
      </c>
    </row>
    <row r="71">
      <c r="A71">
        <f>Normalization!A71</f>
        <v/>
      </c>
      <c r="B71">
        <f>Normalization!B71</f>
        <v/>
      </c>
      <c r="C71">
        <f>Normalization!C71</f>
        <v/>
      </c>
      <c r="D71" s="6">
        <f>Normalization!D71*Assumptions!$C$7+Normalization!E71*Assumptions!$C$8+Normalization!F71*Assumptions!$C$9+Normalization!G71*Assumptions!$C$10+Normalization!H71*Assumptions!$C$11+Normalization!I71*Assumptions!$C$12+Normalization!J71*Assumptions!$C$13</f>
        <v/>
      </c>
      <c r="E71" s="6">
        <f>Normalization!D71*Assumptions!$D$7+Normalization!E71*Assumptions!$D$8+Normalization!F71*Assumptions!$D$9+Normalization!G71*Assumptions!$D$10+Normalization!H71*Assumptions!$D$11+Normalization!I71*Assumptions!$D$12+Normalization!J71*Assumptions!$D$13</f>
        <v/>
      </c>
      <c r="F71" s="6">
        <f>Normalization!D71*Assumptions!$E$7+Normalization!E71*Assumptions!$E$8+Normalization!F71*Assumptions!$E$9+Normalization!G71*Assumptions!$E$10+Normalization!H71*Assumptions!$E$11+Normalization!I71*Assumptions!$E$12+Normalization!J71*Assumptions!$E$13</f>
        <v/>
      </c>
      <c r="G71" s="6">
        <f>Normalization!D71*Assumptions!$F$7+Normalization!E71*Assumptions!$F$8+Normalization!F71*Assumptions!$F$9+Normalization!G71*Assumptions!$F$10+Normalization!H71*Assumptions!$F$11+Normalization!I71*Assumptions!$F$12+Normalization!J71*Assumptions!$F$13</f>
        <v/>
      </c>
      <c r="H71">
        <f>SUMPRODUCT(($C$2:$C$81=$C71)*($D$2:$D$81&gt;$D71))+1</f>
        <v/>
      </c>
      <c r="I71">
        <f>SUMPRODUCT(($C$2:$C$81=$C71)*($E$2:$E$81&gt;$E71))+1</f>
        <v/>
      </c>
      <c r="J71">
        <f>SUMPRODUCT(($C$2:$C$81=$C71)*($F$2:$F$81&gt;$F71))+1</f>
        <v/>
      </c>
      <c r="K71">
        <f>SUMPRODUCT(($C$2:$C$81=$C71)*($G$2:$G$81&gt;$G71))+1</f>
        <v/>
      </c>
    </row>
    <row r="72">
      <c r="A72">
        <f>Normalization!A72</f>
        <v/>
      </c>
      <c r="B72">
        <f>Normalization!B72</f>
        <v/>
      </c>
      <c r="C72">
        <f>Normalization!C72</f>
        <v/>
      </c>
      <c r="D72" s="6">
        <f>Normalization!D72*Assumptions!$C$7+Normalization!E72*Assumptions!$C$8+Normalization!F72*Assumptions!$C$9+Normalization!G72*Assumptions!$C$10+Normalization!H72*Assumptions!$C$11+Normalization!I72*Assumptions!$C$12+Normalization!J72*Assumptions!$C$13</f>
        <v/>
      </c>
      <c r="E72" s="6">
        <f>Normalization!D72*Assumptions!$D$7+Normalization!E72*Assumptions!$D$8+Normalization!F72*Assumptions!$D$9+Normalization!G72*Assumptions!$D$10+Normalization!H72*Assumptions!$D$11+Normalization!I72*Assumptions!$D$12+Normalization!J72*Assumptions!$D$13</f>
        <v/>
      </c>
      <c r="F72" s="6">
        <f>Normalization!D72*Assumptions!$E$7+Normalization!E72*Assumptions!$E$8+Normalization!F72*Assumptions!$E$9+Normalization!G72*Assumptions!$E$10+Normalization!H72*Assumptions!$E$11+Normalization!I72*Assumptions!$E$12+Normalization!J72*Assumptions!$E$13</f>
        <v/>
      </c>
      <c r="G72" s="6">
        <f>Normalization!D72*Assumptions!$F$7+Normalization!E72*Assumptions!$F$8+Normalization!F72*Assumptions!$F$9+Normalization!G72*Assumptions!$F$10+Normalization!H72*Assumptions!$F$11+Normalization!I72*Assumptions!$F$12+Normalization!J72*Assumptions!$F$13</f>
        <v/>
      </c>
      <c r="H72">
        <f>SUMPRODUCT(($C$2:$C$81=$C72)*($D$2:$D$81&gt;$D72))+1</f>
        <v/>
      </c>
      <c r="I72">
        <f>SUMPRODUCT(($C$2:$C$81=$C72)*($E$2:$E$81&gt;$E72))+1</f>
        <v/>
      </c>
      <c r="J72">
        <f>SUMPRODUCT(($C$2:$C$81=$C72)*($F$2:$F$81&gt;$F72))+1</f>
        <v/>
      </c>
      <c r="K72">
        <f>SUMPRODUCT(($C$2:$C$81=$C72)*($G$2:$G$81&gt;$G72))+1</f>
        <v/>
      </c>
    </row>
    <row r="73">
      <c r="A73">
        <f>Normalization!A73</f>
        <v/>
      </c>
      <c r="B73">
        <f>Normalization!B73</f>
        <v/>
      </c>
      <c r="C73">
        <f>Normalization!C73</f>
        <v/>
      </c>
      <c r="D73" s="6">
        <f>Normalization!D73*Assumptions!$C$7+Normalization!E73*Assumptions!$C$8+Normalization!F73*Assumptions!$C$9+Normalization!G73*Assumptions!$C$10+Normalization!H73*Assumptions!$C$11+Normalization!I73*Assumptions!$C$12+Normalization!J73*Assumptions!$C$13</f>
        <v/>
      </c>
      <c r="E73" s="6">
        <f>Normalization!D73*Assumptions!$D$7+Normalization!E73*Assumptions!$D$8+Normalization!F73*Assumptions!$D$9+Normalization!G73*Assumptions!$D$10+Normalization!H73*Assumptions!$D$11+Normalization!I73*Assumptions!$D$12+Normalization!J73*Assumptions!$D$13</f>
        <v/>
      </c>
      <c r="F73" s="6">
        <f>Normalization!D73*Assumptions!$E$7+Normalization!E73*Assumptions!$E$8+Normalization!F73*Assumptions!$E$9+Normalization!G73*Assumptions!$E$10+Normalization!H73*Assumptions!$E$11+Normalization!I73*Assumptions!$E$12+Normalization!J73*Assumptions!$E$13</f>
        <v/>
      </c>
      <c r="G73" s="6">
        <f>Normalization!D73*Assumptions!$F$7+Normalization!E73*Assumptions!$F$8+Normalization!F73*Assumptions!$F$9+Normalization!G73*Assumptions!$F$10+Normalization!H73*Assumptions!$F$11+Normalization!I73*Assumptions!$F$12+Normalization!J73*Assumptions!$F$13</f>
        <v/>
      </c>
      <c r="H73">
        <f>SUMPRODUCT(($C$2:$C$81=$C73)*($D$2:$D$81&gt;$D73))+1</f>
        <v/>
      </c>
      <c r="I73">
        <f>SUMPRODUCT(($C$2:$C$81=$C73)*($E$2:$E$81&gt;$E73))+1</f>
        <v/>
      </c>
      <c r="J73">
        <f>SUMPRODUCT(($C$2:$C$81=$C73)*($F$2:$F$81&gt;$F73))+1</f>
        <v/>
      </c>
      <c r="K73">
        <f>SUMPRODUCT(($C$2:$C$81=$C73)*($G$2:$G$81&gt;$G73))+1</f>
        <v/>
      </c>
    </row>
    <row r="74">
      <c r="A74">
        <f>Normalization!A74</f>
        <v/>
      </c>
      <c r="B74">
        <f>Normalization!B74</f>
        <v/>
      </c>
      <c r="C74">
        <f>Normalization!C74</f>
        <v/>
      </c>
      <c r="D74" s="6">
        <f>Normalization!D74*Assumptions!$C$7+Normalization!E74*Assumptions!$C$8+Normalization!F74*Assumptions!$C$9+Normalization!G74*Assumptions!$C$10+Normalization!H74*Assumptions!$C$11+Normalization!I74*Assumptions!$C$12+Normalization!J74*Assumptions!$C$13</f>
        <v/>
      </c>
      <c r="E74" s="6">
        <f>Normalization!D74*Assumptions!$D$7+Normalization!E74*Assumptions!$D$8+Normalization!F74*Assumptions!$D$9+Normalization!G74*Assumptions!$D$10+Normalization!H74*Assumptions!$D$11+Normalization!I74*Assumptions!$D$12+Normalization!J74*Assumptions!$D$13</f>
        <v/>
      </c>
      <c r="F74" s="6">
        <f>Normalization!D74*Assumptions!$E$7+Normalization!E74*Assumptions!$E$8+Normalization!F74*Assumptions!$E$9+Normalization!G74*Assumptions!$E$10+Normalization!H74*Assumptions!$E$11+Normalization!I74*Assumptions!$E$12+Normalization!J74*Assumptions!$E$13</f>
        <v/>
      </c>
      <c r="G74" s="6">
        <f>Normalization!D74*Assumptions!$F$7+Normalization!E74*Assumptions!$F$8+Normalization!F74*Assumptions!$F$9+Normalization!G74*Assumptions!$F$10+Normalization!H74*Assumptions!$F$11+Normalization!I74*Assumptions!$F$12+Normalization!J74*Assumptions!$F$13</f>
        <v/>
      </c>
      <c r="H74">
        <f>SUMPRODUCT(($C$2:$C$81=$C74)*($D$2:$D$81&gt;$D74))+1</f>
        <v/>
      </c>
      <c r="I74">
        <f>SUMPRODUCT(($C$2:$C$81=$C74)*($E$2:$E$81&gt;$E74))+1</f>
        <v/>
      </c>
      <c r="J74">
        <f>SUMPRODUCT(($C$2:$C$81=$C74)*($F$2:$F$81&gt;$F74))+1</f>
        <v/>
      </c>
      <c r="K74">
        <f>SUMPRODUCT(($C$2:$C$81=$C74)*($G$2:$G$81&gt;$G74))+1</f>
        <v/>
      </c>
    </row>
    <row r="75">
      <c r="A75">
        <f>Normalization!A75</f>
        <v/>
      </c>
      <c r="B75">
        <f>Normalization!B75</f>
        <v/>
      </c>
      <c r="C75">
        <f>Normalization!C75</f>
        <v/>
      </c>
      <c r="D75" s="6">
        <f>Normalization!D75*Assumptions!$C$7+Normalization!E75*Assumptions!$C$8+Normalization!F75*Assumptions!$C$9+Normalization!G75*Assumptions!$C$10+Normalization!H75*Assumptions!$C$11+Normalization!I75*Assumptions!$C$12+Normalization!J75*Assumptions!$C$13</f>
        <v/>
      </c>
      <c r="E75" s="6">
        <f>Normalization!D75*Assumptions!$D$7+Normalization!E75*Assumptions!$D$8+Normalization!F75*Assumptions!$D$9+Normalization!G75*Assumptions!$D$10+Normalization!H75*Assumptions!$D$11+Normalization!I75*Assumptions!$D$12+Normalization!J75*Assumptions!$D$13</f>
        <v/>
      </c>
      <c r="F75" s="6">
        <f>Normalization!D75*Assumptions!$E$7+Normalization!E75*Assumptions!$E$8+Normalization!F75*Assumptions!$E$9+Normalization!G75*Assumptions!$E$10+Normalization!H75*Assumptions!$E$11+Normalization!I75*Assumptions!$E$12+Normalization!J75*Assumptions!$E$13</f>
        <v/>
      </c>
      <c r="G75" s="6">
        <f>Normalization!D75*Assumptions!$F$7+Normalization!E75*Assumptions!$F$8+Normalization!F75*Assumptions!$F$9+Normalization!G75*Assumptions!$F$10+Normalization!H75*Assumptions!$F$11+Normalization!I75*Assumptions!$F$12+Normalization!J75*Assumptions!$F$13</f>
        <v/>
      </c>
      <c r="H75">
        <f>SUMPRODUCT(($C$2:$C$81=$C75)*($D$2:$D$81&gt;$D75))+1</f>
        <v/>
      </c>
      <c r="I75">
        <f>SUMPRODUCT(($C$2:$C$81=$C75)*($E$2:$E$81&gt;$E75))+1</f>
        <v/>
      </c>
      <c r="J75">
        <f>SUMPRODUCT(($C$2:$C$81=$C75)*($F$2:$F$81&gt;$F75))+1</f>
        <v/>
      </c>
      <c r="K75">
        <f>SUMPRODUCT(($C$2:$C$81=$C75)*($G$2:$G$81&gt;$G75))+1</f>
        <v/>
      </c>
    </row>
    <row r="76">
      <c r="A76">
        <f>Normalization!A76</f>
        <v/>
      </c>
      <c r="B76">
        <f>Normalization!B76</f>
        <v/>
      </c>
      <c r="C76">
        <f>Normalization!C76</f>
        <v/>
      </c>
      <c r="D76" s="6">
        <f>Normalization!D76*Assumptions!$C$7+Normalization!E76*Assumptions!$C$8+Normalization!F76*Assumptions!$C$9+Normalization!G76*Assumptions!$C$10+Normalization!H76*Assumptions!$C$11+Normalization!I76*Assumptions!$C$12+Normalization!J76*Assumptions!$C$13</f>
        <v/>
      </c>
      <c r="E76" s="6">
        <f>Normalization!D76*Assumptions!$D$7+Normalization!E76*Assumptions!$D$8+Normalization!F76*Assumptions!$D$9+Normalization!G76*Assumptions!$D$10+Normalization!H76*Assumptions!$D$11+Normalization!I76*Assumptions!$D$12+Normalization!J76*Assumptions!$D$13</f>
        <v/>
      </c>
      <c r="F76" s="6">
        <f>Normalization!D76*Assumptions!$E$7+Normalization!E76*Assumptions!$E$8+Normalization!F76*Assumptions!$E$9+Normalization!G76*Assumptions!$E$10+Normalization!H76*Assumptions!$E$11+Normalization!I76*Assumptions!$E$12+Normalization!J76*Assumptions!$E$13</f>
        <v/>
      </c>
      <c r="G76" s="6">
        <f>Normalization!D76*Assumptions!$F$7+Normalization!E76*Assumptions!$F$8+Normalization!F76*Assumptions!$F$9+Normalization!G76*Assumptions!$F$10+Normalization!H76*Assumptions!$F$11+Normalization!I76*Assumptions!$F$12+Normalization!J76*Assumptions!$F$13</f>
        <v/>
      </c>
      <c r="H76">
        <f>SUMPRODUCT(($C$2:$C$81=$C76)*($D$2:$D$81&gt;$D76))+1</f>
        <v/>
      </c>
      <c r="I76">
        <f>SUMPRODUCT(($C$2:$C$81=$C76)*($E$2:$E$81&gt;$E76))+1</f>
        <v/>
      </c>
      <c r="J76">
        <f>SUMPRODUCT(($C$2:$C$81=$C76)*($F$2:$F$81&gt;$F76))+1</f>
        <v/>
      </c>
      <c r="K76">
        <f>SUMPRODUCT(($C$2:$C$81=$C76)*($G$2:$G$81&gt;$G76))+1</f>
        <v/>
      </c>
    </row>
    <row r="77">
      <c r="A77">
        <f>Normalization!A77</f>
        <v/>
      </c>
      <c r="B77">
        <f>Normalization!B77</f>
        <v/>
      </c>
      <c r="C77">
        <f>Normalization!C77</f>
        <v/>
      </c>
      <c r="D77" s="6">
        <f>Normalization!D77*Assumptions!$C$7+Normalization!E77*Assumptions!$C$8+Normalization!F77*Assumptions!$C$9+Normalization!G77*Assumptions!$C$10+Normalization!H77*Assumptions!$C$11+Normalization!I77*Assumptions!$C$12+Normalization!J77*Assumptions!$C$13</f>
        <v/>
      </c>
      <c r="E77" s="6">
        <f>Normalization!D77*Assumptions!$D$7+Normalization!E77*Assumptions!$D$8+Normalization!F77*Assumptions!$D$9+Normalization!G77*Assumptions!$D$10+Normalization!H77*Assumptions!$D$11+Normalization!I77*Assumptions!$D$12+Normalization!J77*Assumptions!$D$13</f>
        <v/>
      </c>
      <c r="F77" s="6">
        <f>Normalization!D77*Assumptions!$E$7+Normalization!E77*Assumptions!$E$8+Normalization!F77*Assumptions!$E$9+Normalization!G77*Assumptions!$E$10+Normalization!H77*Assumptions!$E$11+Normalization!I77*Assumptions!$E$12+Normalization!J77*Assumptions!$E$13</f>
        <v/>
      </c>
      <c r="G77" s="6">
        <f>Normalization!D77*Assumptions!$F$7+Normalization!E77*Assumptions!$F$8+Normalization!F77*Assumptions!$F$9+Normalization!G77*Assumptions!$F$10+Normalization!H77*Assumptions!$F$11+Normalization!I77*Assumptions!$F$12+Normalization!J77*Assumptions!$F$13</f>
        <v/>
      </c>
      <c r="H77">
        <f>SUMPRODUCT(($C$2:$C$81=$C77)*($D$2:$D$81&gt;$D77))+1</f>
        <v/>
      </c>
      <c r="I77">
        <f>SUMPRODUCT(($C$2:$C$81=$C77)*($E$2:$E$81&gt;$E77))+1</f>
        <v/>
      </c>
      <c r="J77">
        <f>SUMPRODUCT(($C$2:$C$81=$C77)*($F$2:$F$81&gt;$F77))+1</f>
        <v/>
      </c>
      <c r="K77">
        <f>SUMPRODUCT(($C$2:$C$81=$C77)*($G$2:$G$81&gt;$G77))+1</f>
        <v/>
      </c>
    </row>
    <row r="78">
      <c r="A78">
        <f>Normalization!A78</f>
        <v/>
      </c>
      <c r="B78">
        <f>Normalization!B78</f>
        <v/>
      </c>
      <c r="C78">
        <f>Normalization!C78</f>
        <v/>
      </c>
      <c r="D78" s="6">
        <f>Normalization!D78*Assumptions!$C$7+Normalization!E78*Assumptions!$C$8+Normalization!F78*Assumptions!$C$9+Normalization!G78*Assumptions!$C$10+Normalization!H78*Assumptions!$C$11+Normalization!I78*Assumptions!$C$12+Normalization!J78*Assumptions!$C$13</f>
        <v/>
      </c>
      <c r="E78" s="6">
        <f>Normalization!D78*Assumptions!$D$7+Normalization!E78*Assumptions!$D$8+Normalization!F78*Assumptions!$D$9+Normalization!G78*Assumptions!$D$10+Normalization!H78*Assumptions!$D$11+Normalization!I78*Assumptions!$D$12+Normalization!J78*Assumptions!$D$13</f>
        <v/>
      </c>
      <c r="F78" s="6">
        <f>Normalization!D78*Assumptions!$E$7+Normalization!E78*Assumptions!$E$8+Normalization!F78*Assumptions!$E$9+Normalization!G78*Assumptions!$E$10+Normalization!H78*Assumptions!$E$11+Normalization!I78*Assumptions!$E$12+Normalization!J78*Assumptions!$E$13</f>
        <v/>
      </c>
      <c r="G78" s="6">
        <f>Normalization!D78*Assumptions!$F$7+Normalization!E78*Assumptions!$F$8+Normalization!F78*Assumptions!$F$9+Normalization!G78*Assumptions!$F$10+Normalization!H78*Assumptions!$F$11+Normalization!I78*Assumptions!$F$12+Normalization!J78*Assumptions!$F$13</f>
        <v/>
      </c>
      <c r="H78">
        <f>SUMPRODUCT(($C$2:$C$81=$C78)*($D$2:$D$81&gt;$D78))+1</f>
        <v/>
      </c>
      <c r="I78">
        <f>SUMPRODUCT(($C$2:$C$81=$C78)*($E$2:$E$81&gt;$E78))+1</f>
        <v/>
      </c>
      <c r="J78">
        <f>SUMPRODUCT(($C$2:$C$81=$C78)*($F$2:$F$81&gt;$F78))+1</f>
        <v/>
      </c>
      <c r="K78">
        <f>SUMPRODUCT(($C$2:$C$81=$C78)*($G$2:$G$81&gt;$G78))+1</f>
        <v/>
      </c>
    </row>
    <row r="79">
      <c r="A79">
        <f>Normalization!A79</f>
        <v/>
      </c>
      <c r="B79">
        <f>Normalization!B79</f>
        <v/>
      </c>
      <c r="C79">
        <f>Normalization!C79</f>
        <v/>
      </c>
      <c r="D79" s="6">
        <f>Normalization!D79*Assumptions!$C$7+Normalization!E79*Assumptions!$C$8+Normalization!F79*Assumptions!$C$9+Normalization!G79*Assumptions!$C$10+Normalization!H79*Assumptions!$C$11+Normalization!I79*Assumptions!$C$12+Normalization!J79*Assumptions!$C$13</f>
        <v/>
      </c>
      <c r="E79" s="6">
        <f>Normalization!D79*Assumptions!$D$7+Normalization!E79*Assumptions!$D$8+Normalization!F79*Assumptions!$D$9+Normalization!G79*Assumptions!$D$10+Normalization!H79*Assumptions!$D$11+Normalization!I79*Assumptions!$D$12+Normalization!J79*Assumptions!$D$13</f>
        <v/>
      </c>
      <c r="F79" s="6">
        <f>Normalization!D79*Assumptions!$E$7+Normalization!E79*Assumptions!$E$8+Normalization!F79*Assumptions!$E$9+Normalization!G79*Assumptions!$E$10+Normalization!H79*Assumptions!$E$11+Normalization!I79*Assumptions!$E$12+Normalization!J79*Assumptions!$E$13</f>
        <v/>
      </c>
      <c r="G79" s="6">
        <f>Normalization!D79*Assumptions!$F$7+Normalization!E79*Assumptions!$F$8+Normalization!F79*Assumptions!$F$9+Normalization!G79*Assumptions!$F$10+Normalization!H79*Assumptions!$F$11+Normalization!I79*Assumptions!$F$12+Normalization!J79*Assumptions!$F$13</f>
        <v/>
      </c>
      <c r="H79">
        <f>SUMPRODUCT(($C$2:$C$81=$C79)*($D$2:$D$81&gt;$D79))+1</f>
        <v/>
      </c>
      <c r="I79">
        <f>SUMPRODUCT(($C$2:$C$81=$C79)*($E$2:$E$81&gt;$E79))+1</f>
        <v/>
      </c>
      <c r="J79">
        <f>SUMPRODUCT(($C$2:$C$81=$C79)*($F$2:$F$81&gt;$F79))+1</f>
        <v/>
      </c>
      <c r="K79">
        <f>SUMPRODUCT(($C$2:$C$81=$C79)*($G$2:$G$81&gt;$G79))+1</f>
        <v/>
      </c>
    </row>
    <row r="80">
      <c r="A80">
        <f>Normalization!A80</f>
        <v/>
      </c>
      <c r="B80">
        <f>Normalization!B80</f>
        <v/>
      </c>
      <c r="C80">
        <f>Normalization!C80</f>
        <v/>
      </c>
      <c r="D80" s="6">
        <f>Normalization!D80*Assumptions!$C$7+Normalization!E80*Assumptions!$C$8+Normalization!F80*Assumptions!$C$9+Normalization!G80*Assumptions!$C$10+Normalization!H80*Assumptions!$C$11+Normalization!I80*Assumptions!$C$12+Normalization!J80*Assumptions!$C$13</f>
        <v/>
      </c>
      <c r="E80" s="6">
        <f>Normalization!D80*Assumptions!$D$7+Normalization!E80*Assumptions!$D$8+Normalization!F80*Assumptions!$D$9+Normalization!G80*Assumptions!$D$10+Normalization!H80*Assumptions!$D$11+Normalization!I80*Assumptions!$D$12+Normalization!J80*Assumptions!$D$13</f>
        <v/>
      </c>
      <c r="F80" s="6">
        <f>Normalization!D80*Assumptions!$E$7+Normalization!E80*Assumptions!$E$8+Normalization!F80*Assumptions!$E$9+Normalization!G80*Assumptions!$E$10+Normalization!H80*Assumptions!$E$11+Normalization!I80*Assumptions!$E$12+Normalization!J80*Assumptions!$E$13</f>
        <v/>
      </c>
      <c r="G80" s="6">
        <f>Normalization!D80*Assumptions!$F$7+Normalization!E80*Assumptions!$F$8+Normalization!F80*Assumptions!$F$9+Normalization!G80*Assumptions!$F$10+Normalization!H80*Assumptions!$F$11+Normalization!I80*Assumptions!$F$12+Normalization!J80*Assumptions!$F$13</f>
        <v/>
      </c>
      <c r="H80">
        <f>SUMPRODUCT(($C$2:$C$81=$C80)*($D$2:$D$81&gt;$D80))+1</f>
        <v/>
      </c>
      <c r="I80">
        <f>SUMPRODUCT(($C$2:$C$81=$C80)*($E$2:$E$81&gt;$E80))+1</f>
        <v/>
      </c>
      <c r="J80">
        <f>SUMPRODUCT(($C$2:$C$81=$C80)*($F$2:$F$81&gt;$F80))+1</f>
        <v/>
      </c>
      <c r="K80">
        <f>SUMPRODUCT(($C$2:$C$81=$C80)*($G$2:$G$81&gt;$G80))+1</f>
        <v/>
      </c>
    </row>
    <row r="81">
      <c r="A81">
        <f>Normalization!A81</f>
        <v/>
      </c>
      <c r="B81">
        <f>Normalization!B81</f>
        <v/>
      </c>
      <c r="C81">
        <f>Normalization!C81</f>
        <v/>
      </c>
      <c r="D81" s="6">
        <f>Normalization!D81*Assumptions!$C$7+Normalization!E81*Assumptions!$C$8+Normalization!F81*Assumptions!$C$9+Normalization!G81*Assumptions!$C$10+Normalization!H81*Assumptions!$C$11+Normalization!I81*Assumptions!$C$12+Normalization!J81*Assumptions!$C$13</f>
        <v/>
      </c>
      <c r="E81" s="6">
        <f>Normalization!D81*Assumptions!$D$7+Normalization!E81*Assumptions!$D$8+Normalization!F81*Assumptions!$D$9+Normalization!G81*Assumptions!$D$10+Normalization!H81*Assumptions!$D$11+Normalization!I81*Assumptions!$D$12+Normalization!J81*Assumptions!$D$13</f>
        <v/>
      </c>
      <c r="F81" s="6">
        <f>Normalization!D81*Assumptions!$E$7+Normalization!E81*Assumptions!$E$8+Normalization!F81*Assumptions!$E$9+Normalization!G81*Assumptions!$E$10+Normalization!H81*Assumptions!$E$11+Normalization!I81*Assumptions!$E$12+Normalization!J81*Assumptions!$E$13</f>
        <v/>
      </c>
      <c r="G81" s="6">
        <f>Normalization!D81*Assumptions!$F$7+Normalization!E81*Assumptions!$F$8+Normalization!F81*Assumptions!$F$9+Normalization!G81*Assumptions!$F$10+Normalization!H81*Assumptions!$F$11+Normalization!I81*Assumptions!$F$12+Normalization!J81*Assumptions!$F$13</f>
        <v/>
      </c>
      <c r="H81">
        <f>SUMPRODUCT(($C$2:$C$81=$C81)*($D$2:$D$81&gt;$D81))+1</f>
        <v/>
      </c>
      <c r="I81">
        <f>SUMPRODUCT(($C$2:$C$81=$C81)*($E$2:$E$81&gt;$E81))+1</f>
        <v/>
      </c>
      <c r="J81">
        <f>SUMPRODUCT(($C$2:$C$81=$C81)*($F$2:$F$81&gt;$F81))+1</f>
        <v/>
      </c>
      <c r="K81">
        <f>SUMPRODUCT(($C$2:$C$81=$C81)*($G$2:$G$81&gt;$G81))+1</f>
        <v/>
      </c>
    </row>
    <row r="83">
      <c r="A83" s="7" t="inlineStr">
        <is>
          <t>Illustrative dataset constructed to be directionally consistent with publicly reported industry estimates. Figures are for methodology demonstration and are not market research.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2" customWidth="1" min="1" max="1"/>
    <col width="38"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s>
  <sheetData>
    <row r="1">
      <c r="A1" s="8" t="inlineStr">
        <is>
          <t>Ranking and recommendation</t>
        </is>
      </c>
    </row>
    <row r="2">
      <c r="A2" s="7" t="inlineStr">
        <is>
          <t>Illustrative dataset constructed to be directionally consistent with publicly reported industry estimates. Figures are for methodology demonstration and are not market research.</t>
        </is>
      </c>
    </row>
    <row r="4">
      <c r="A4" s="9" t="inlineStr">
        <is>
          <t>Model year (input - change it to re-rank any year 2021-2030)</t>
        </is>
      </c>
      <c r="D4" s="10" t="n">
        <v>2030</v>
      </c>
    </row>
    <row r="6">
      <c r="A6" s="1" t="inlineStr">
        <is>
          <t>segment_id</t>
        </is>
      </c>
      <c r="B6" s="1" t="inlineStr">
        <is>
          <t>segment_name</t>
        </is>
      </c>
      <c r="C6" s="1" t="inlineStr">
        <is>
          <t>Score in model year</t>
        </is>
      </c>
      <c r="D6" s="1" t="inlineStr">
        <is>
          <t>Rank in model year</t>
        </is>
      </c>
      <c r="E6" s="1" t="inlineStr">
        <is>
          <t>Forward mean score</t>
        </is>
      </c>
      <c r="F6" s="1" t="inlineStr">
        <is>
          <t>Recommendation</t>
        </is>
      </c>
      <c r="G6" s="1" t="inlineStr">
        <is>
          <t>Rank - Base (house view)</t>
        </is>
      </c>
      <c r="H6" s="1" t="inlineStr">
        <is>
          <t>Rank - Growth-weighted</t>
        </is>
      </c>
      <c r="I6" s="1" t="inlineStr">
        <is>
          <t>Rank - Feasibility-weighted</t>
        </is>
      </c>
      <c r="J6" s="1" t="inlineStr">
        <is>
          <t>Rank - Fit-weighted</t>
        </is>
      </c>
      <c r="K6" s="1" t="inlineStr">
        <is>
          <t>Max rank swing vs house view</t>
        </is>
      </c>
    </row>
    <row r="7">
      <c r="A7" s="11" t="inlineStr">
        <is>
          <t>ANLG</t>
        </is>
      </c>
      <c r="B7">
        <f>VLOOKUP($A7,'Raw Data'!$A$2:$B$81,2,FALSE)</f>
        <v/>
      </c>
      <c r="C7" s="6">
        <f>SUMIFS('Scoring Model'!$K$2:$K$81,'Scoring Model'!$A$2:$A$81,$A7,'Scoring Model'!$C$2:$C$81,$D$4)</f>
        <v/>
      </c>
      <c r="D7">
        <f>SUMIFS('Scoring Model'!$L$2:$L$81,'Scoring Model'!$A$2:$A$81,$A7,'Scoring Model'!$C$2:$C$81,$D$4)</f>
        <v/>
      </c>
      <c r="E7" s="6">
        <f>AVERAGEIFS('Scoring Model'!$K$2:$K$81,'Scoring Model'!$A$2:$A$81,$A7,'Scoring Model'!$C$2:$C$81,"&gt;="&amp;Assumptions!$C$19,'Scoring Model'!$C$2:$C$81,"&lt;="&amp;Assumptions!$C$20)</f>
        <v/>
      </c>
      <c r="F7" s="9">
        <f>IF($E7&gt;=Assumptions!$C$17,"Prioritize",IF($E7&gt;=Assumptions!$C$18,"Selective","Deprioritize"))</f>
        <v/>
      </c>
      <c r="G7">
        <f>SUMIFS(Sensitivity!$H$2:$H$81,Sensitivity!$A$2:$A$81,$A7,Sensitivity!$C$2:$C$81,$D$4)</f>
        <v/>
      </c>
      <c r="H7">
        <f>SUMIFS(Sensitivity!$I$2:$I$81,Sensitivity!$A$2:$A$81,$A7,Sensitivity!$C$2:$C$81,$D$4)</f>
        <v/>
      </c>
      <c r="I7">
        <f>SUMIFS(Sensitivity!$J$2:$J$81,Sensitivity!$A$2:$A$81,$A7,Sensitivity!$C$2:$C$81,$D$4)</f>
        <v/>
      </c>
      <c r="J7">
        <f>SUMIFS(Sensitivity!$K$2:$K$81,Sensitivity!$A$2:$A$81,$A7,Sensitivity!$C$2:$C$81,$D$4)</f>
        <v/>
      </c>
      <c r="K7">
        <f>MAX(ABS($G7-H7),ABS($G7-I7),ABS($G7-J7))</f>
        <v/>
      </c>
    </row>
    <row r="8">
      <c r="A8" s="11" t="inlineStr">
        <is>
          <t>AUTO</t>
        </is>
      </c>
      <c r="B8">
        <f>VLOOKUP($A8,'Raw Data'!$A$2:$B$81,2,FALSE)</f>
        <v/>
      </c>
      <c r="C8" s="6">
        <f>SUMIFS('Scoring Model'!$K$2:$K$81,'Scoring Model'!$A$2:$A$81,$A8,'Scoring Model'!$C$2:$C$81,$D$4)</f>
        <v/>
      </c>
      <c r="D8">
        <f>SUMIFS('Scoring Model'!$L$2:$L$81,'Scoring Model'!$A$2:$A$81,$A8,'Scoring Model'!$C$2:$C$81,$D$4)</f>
        <v/>
      </c>
      <c r="E8" s="6">
        <f>AVERAGEIFS('Scoring Model'!$K$2:$K$81,'Scoring Model'!$A$2:$A$81,$A8,'Scoring Model'!$C$2:$C$81,"&gt;="&amp;Assumptions!$C$19,'Scoring Model'!$C$2:$C$81,"&lt;="&amp;Assumptions!$C$20)</f>
        <v/>
      </c>
      <c r="F8" s="9">
        <f>IF($E8&gt;=Assumptions!$C$17,"Prioritize",IF($E8&gt;=Assumptions!$C$18,"Selective","Deprioritize"))</f>
        <v/>
      </c>
      <c r="G8">
        <f>SUMIFS(Sensitivity!$H$2:$H$81,Sensitivity!$A$2:$A$81,$A8,Sensitivity!$C$2:$C$81,$D$4)</f>
        <v/>
      </c>
      <c r="H8">
        <f>SUMIFS(Sensitivity!$I$2:$I$81,Sensitivity!$A$2:$A$81,$A8,Sensitivity!$C$2:$C$81,$D$4)</f>
        <v/>
      </c>
      <c r="I8">
        <f>SUMIFS(Sensitivity!$J$2:$J$81,Sensitivity!$A$2:$A$81,$A8,Sensitivity!$C$2:$C$81,$D$4)</f>
        <v/>
      </c>
      <c r="J8">
        <f>SUMIFS(Sensitivity!$K$2:$K$81,Sensitivity!$A$2:$A$81,$A8,Sensitivity!$C$2:$C$81,$D$4)</f>
        <v/>
      </c>
      <c r="K8">
        <f>MAX(ABS($G8-H8),ABS($G8-I8),ABS($G8-J8))</f>
        <v/>
      </c>
    </row>
    <row r="9">
      <c r="A9" s="11" t="inlineStr">
        <is>
          <t>HPC</t>
        </is>
      </c>
      <c r="B9">
        <f>VLOOKUP($A9,'Raw Data'!$A$2:$B$81,2,FALSE)</f>
        <v/>
      </c>
      <c r="C9" s="6">
        <f>SUMIFS('Scoring Model'!$K$2:$K$81,'Scoring Model'!$A$2:$A$81,$A9,'Scoring Model'!$C$2:$C$81,$D$4)</f>
        <v/>
      </c>
      <c r="D9">
        <f>SUMIFS('Scoring Model'!$L$2:$L$81,'Scoring Model'!$A$2:$A$81,$A9,'Scoring Model'!$C$2:$C$81,$D$4)</f>
        <v/>
      </c>
      <c r="E9" s="6">
        <f>AVERAGEIFS('Scoring Model'!$K$2:$K$81,'Scoring Model'!$A$2:$A$81,$A9,'Scoring Model'!$C$2:$C$81,"&gt;="&amp;Assumptions!$C$19,'Scoring Model'!$C$2:$C$81,"&lt;="&amp;Assumptions!$C$20)</f>
        <v/>
      </c>
      <c r="F9" s="9">
        <f>IF($E9&gt;=Assumptions!$C$17,"Prioritize",IF($E9&gt;=Assumptions!$C$18,"Selective","Deprioritize"))</f>
        <v/>
      </c>
      <c r="G9">
        <f>SUMIFS(Sensitivity!$H$2:$H$81,Sensitivity!$A$2:$A$81,$A9,Sensitivity!$C$2:$C$81,$D$4)</f>
        <v/>
      </c>
      <c r="H9">
        <f>SUMIFS(Sensitivity!$I$2:$I$81,Sensitivity!$A$2:$A$81,$A9,Sensitivity!$C$2:$C$81,$D$4)</f>
        <v/>
      </c>
      <c r="I9">
        <f>SUMIFS(Sensitivity!$J$2:$J$81,Sensitivity!$A$2:$A$81,$A9,Sensitivity!$C$2:$C$81,$D$4)</f>
        <v/>
      </c>
      <c r="J9">
        <f>SUMIFS(Sensitivity!$K$2:$K$81,Sensitivity!$A$2:$A$81,$A9,Sensitivity!$C$2:$C$81,$D$4)</f>
        <v/>
      </c>
      <c r="K9">
        <f>MAX(ABS($G9-H9),ABS($G9-I9),ABS($G9-J9))</f>
        <v/>
      </c>
    </row>
    <row r="10">
      <c r="A10" s="11" t="inlineStr">
        <is>
          <t>MEM</t>
        </is>
      </c>
      <c r="B10">
        <f>VLOOKUP($A10,'Raw Data'!$A$2:$B$81,2,FALSE)</f>
        <v/>
      </c>
      <c r="C10" s="6">
        <f>SUMIFS('Scoring Model'!$K$2:$K$81,'Scoring Model'!$A$2:$A$81,$A10,'Scoring Model'!$C$2:$C$81,$D$4)</f>
        <v/>
      </c>
      <c r="D10">
        <f>SUMIFS('Scoring Model'!$L$2:$L$81,'Scoring Model'!$A$2:$A$81,$A10,'Scoring Model'!$C$2:$C$81,$D$4)</f>
        <v/>
      </c>
      <c r="E10" s="6">
        <f>AVERAGEIFS('Scoring Model'!$K$2:$K$81,'Scoring Model'!$A$2:$A$81,$A10,'Scoring Model'!$C$2:$C$81,"&gt;="&amp;Assumptions!$C$19,'Scoring Model'!$C$2:$C$81,"&lt;="&amp;Assumptions!$C$20)</f>
        <v/>
      </c>
      <c r="F10" s="9">
        <f>IF($E10&gt;=Assumptions!$C$17,"Prioritize",IF($E10&gt;=Assumptions!$C$18,"Selective","Deprioritize"))</f>
        <v/>
      </c>
      <c r="G10">
        <f>SUMIFS(Sensitivity!$H$2:$H$81,Sensitivity!$A$2:$A$81,$A10,Sensitivity!$C$2:$C$81,$D$4)</f>
        <v/>
      </c>
      <c r="H10">
        <f>SUMIFS(Sensitivity!$I$2:$I$81,Sensitivity!$A$2:$A$81,$A10,Sensitivity!$C$2:$C$81,$D$4)</f>
        <v/>
      </c>
      <c r="I10">
        <f>SUMIFS(Sensitivity!$J$2:$J$81,Sensitivity!$A$2:$A$81,$A10,Sensitivity!$C$2:$C$81,$D$4)</f>
        <v/>
      </c>
      <c r="J10">
        <f>SUMIFS(Sensitivity!$K$2:$K$81,Sensitivity!$A$2:$A$81,$A10,Sensitivity!$C$2:$C$81,$D$4)</f>
        <v/>
      </c>
      <c r="K10">
        <f>MAX(ABS($G10-H10),ABS($G10-I10),ABS($G10-J10))</f>
        <v/>
      </c>
    </row>
    <row r="11">
      <c r="A11" s="11" t="inlineStr">
        <is>
          <t>MEMS</t>
        </is>
      </c>
      <c r="B11">
        <f>VLOOKUP($A11,'Raw Data'!$A$2:$B$81,2,FALSE)</f>
        <v/>
      </c>
      <c r="C11" s="6">
        <f>SUMIFS('Scoring Model'!$K$2:$K$81,'Scoring Model'!$A$2:$A$81,$A11,'Scoring Model'!$C$2:$C$81,$D$4)</f>
        <v/>
      </c>
      <c r="D11">
        <f>SUMIFS('Scoring Model'!$L$2:$L$81,'Scoring Model'!$A$2:$A$81,$A11,'Scoring Model'!$C$2:$C$81,$D$4)</f>
        <v/>
      </c>
      <c r="E11" s="6">
        <f>AVERAGEIFS('Scoring Model'!$K$2:$K$81,'Scoring Model'!$A$2:$A$81,$A11,'Scoring Model'!$C$2:$C$81,"&gt;="&amp;Assumptions!$C$19,'Scoring Model'!$C$2:$C$81,"&lt;="&amp;Assumptions!$C$20)</f>
        <v/>
      </c>
      <c r="F11" s="9">
        <f>IF($E11&gt;=Assumptions!$C$17,"Prioritize",IF($E11&gt;=Assumptions!$C$18,"Selective","Deprioritize"))</f>
        <v/>
      </c>
      <c r="G11">
        <f>SUMIFS(Sensitivity!$H$2:$H$81,Sensitivity!$A$2:$A$81,$A11,Sensitivity!$C$2:$C$81,$D$4)</f>
        <v/>
      </c>
      <c r="H11">
        <f>SUMIFS(Sensitivity!$I$2:$I$81,Sensitivity!$A$2:$A$81,$A11,Sensitivity!$C$2:$C$81,$D$4)</f>
        <v/>
      </c>
      <c r="I11">
        <f>SUMIFS(Sensitivity!$J$2:$J$81,Sensitivity!$A$2:$A$81,$A11,Sensitivity!$C$2:$C$81,$D$4)</f>
        <v/>
      </c>
      <c r="J11">
        <f>SUMIFS(Sensitivity!$K$2:$K$81,Sensitivity!$A$2:$A$81,$A11,Sensitivity!$C$2:$C$81,$D$4)</f>
        <v/>
      </c>
      <c r="K11">
        <f>MAX(ABS($G11-H11),ABS($G11-I11),ABS($G11-J11))</f>
        <v/>
      </c>
    </row>
    <row r="12">
      <c r="A12" s="11" t="inlineStr">
        <is>
          <t>PHOT</t>
        </is>
      </c>
      <c r="B12">
        <f>VLOOKUP($A12,'Raw Data'!$A$2:$B$81,2,FALSE)</f>
        <v/>
      </c>
      <c r="C12" s="6">
        <f>SUMIFS('Scoring Model'!$K$2:$K$81,'Scoring Model'!$A$2:$A$81,$A12,'Scoring Model'!$C$2:$C$81,$D$4)</f>
        <v/>
      </c>
      <c r="D12">
        <f>SUMIFS('Scoring Model'!$L$2:$L$81,'Scoring Model'!$A$2:$A$81,$A12,'Scoring Model'!$C$2:$C$81,$D$4)</f>
        <v/>
      </c>
      <c r="E12" s="6">
        <f>AVERAGEIFS('Scoring Model'!$K$2:$K$81,'Scoring Model'!$A$2:$A$81,$A12,'Scoring Model'!$C$2:$C$81,"&gt;="&amp;Assumptions!$C$19,'Scoring Model'!$C$2:$C$81,"&lt;="&amp;Assumptions!$C$20)</f>
        <v/>
      </c>
      <c r="F12" s="9">
        <f>IF($E12&gt;=Assumptions!$C$17,"Prioritize",IF($E12&gt;=Assumptions!$C$18,"Selective","Deprioritize"))</f>
        <v/>
      </c>
      <c r="G12">
        <f>SUMIFS(Sensitivity!$H$2:$H$81,Sensitivity!$A$2:$A$81,$A12,Sensitivity!$C$2:$C$81,$D$4)</f>
        <v/>
      </c>
      <c r="H12">
        <f>SUMIFS(Sensitivity!$I$2:$I$81,Sensitivity!$A$2:$A$81,$A12,Sensitivity!$C$2:$C$81,$D$4)</f>
        <v/>
      </c>
      <c r="I12">
        <f>SUMIFS(Sensitivity!$J$2:$J$81,Sensitivity!$A$2:$A$81,$A12,Sensitivity!$C$2:$C$81,$D$4)</f>
        <v/>
      </c>
      <c r="J12">
        <f>SUMIFS(Sensitivity!$K$2:$K$81,Sensitivity!$A$2:$A$81,$A12,Sensitivity!$C$2:$C$81,$D$4)</f>
        <v/>
      </c>
      <c r="K12">
        <f>MAX(ABS($G12-H12),ABS($G12-I12),ABS($G12-J12))</f>
        <v/>
      </c>
    </row>
    <row r="13">
      <c r="A13" s="11" t="inlineStr">
        <is>
          <t>PWR</t>
        </is>
      </c>
      <c r="B13">
        <f>VLOOKUP($A13,'Raw Data'!$A$2:$B$81,2,FALSE)</f>
        <v/>
      </c>
      <c r="C13" s="6">
        <f>SUMIFS('Scoring Model'!$K$2:$K$81,'Scoring Model'!$A$2:$A$81,$A13,'Scoring Model'!$C$2:$C$81,$D$4)</f>
        <v/>
      </c>
      <c r="D13">
        <f>SUMIFS('Scoring Model'!$L$2:$L$81,'Scoring Model'!$A$2:$A$81,$A13,'Scoring Model'!$C$2:$C$81,$D$4)</f>
        <v/>
      </c>
      <c r="E13" s="6">
        <f>AVERAGEIFS('Scoring Model'!$K$2:$K$81,'Scoring Model'!$A$2:$A$81,$A13,'Scoring Model'!$C$2:$C$81,"&gt;="&amp;Assumptions!$C$19,'Scoring Model'!$C$2:$C$81,"&lt;="&amp;Assumptions!$C$20)</f>
        <v/>
      </c>
      <c r="F13" s="9">
        <f>IF($E13&gt;=Assumptions!$C$17,"Prioritize",IF($E13&gt;=Assumptions!$C$18,"Selective","Deprioritize"))</f>
        <v/>
      </c>
      <c r="G13">
        <f>SUMIFS(Sensitivity!$H$2:$H$81,Sensitivity!$A$2:$A$81,$A13,Sensitivity!$C$2:$C$81,$D$4)</f>
        <v/>
      </c>
      <c r="H13">
        <f>SUMIFS(Sensitivity!$I$2:$I$81,Sensitivity!$A$2:$A$81,$A13,Sensitivity!$C$2:$C$81,$D$4)</f>
        <v/>
      </c>
      <c r="I13">
        <f>SUMIFS(Sensitivity!$J$2:$J$81,Sensitivity!$A$2:$A$81,$A13,Sensitivity!$C$2:$C$81,$D$4)</f>
        <v/>
      </c>
      <c r="J13">
        <f>SUMIFS(Sensitivity!$K$2:$K$81,Sensitivity!$A$2:$A$81,$A13,Sensitivity!$C$2:$C$81,$D$4)</f>
        <v/>
      </c>
      <c r="K13">
        <f>MAX(ABS($G13-H13),ABS($G13-I13),ABS($G13-J13))</f>
        <v/>
      </c>
    </row>
    <row r="14">
      <c r="A14" s="11" t="inlineStr">
        <is>
          <t>RF5G</t>
        </is>
      </c>
      <c r="B14">
        <f>VLOOKUP($A14,'Raw Data'!$A$2:$B$81,2,FALSE)</f>
        <v/>
      </c>
      <c r="C14" s="6">
        <f>SUMIFS('Scoring Model'!$K$2:$K$81,'Scoring Model'!$A$2:$A$81,$A14,'Scoring Model'!$C$2:$C$81,$D$4)</f>
        <v/>
      </c>
      <c r="D14">
        <f>SUMIFS('Scoring Model'!$L$2:$L$81,'Scoring Model'!$A$2:$A$81,$A14,'Scoring Model'!$C$2:$C$81,$D$4)</f>
        <v/>
      </c>
      <c r="E14" s="6">
        <f>AVERAGEIFS('Scoring Model'!$K$2:$K$81,'Scoring Model'!$A$2:$A$81,$A14,'Scoring Model'!$C$2:$C$81,"&gt;="&amp;Assumptions!$C$19,'Scoring Model'!$C$2:$C$81,"&lt;="&amp;Assumptions!$C$20)</f>
        <v/>
      </c>
      <c r="F14" s="9">
        <f>IF($E14&gt;=Assumptions!$C$17,"Prioritize",IF($E14&gt;=Assumptions!$C$18,"Selective","Deprioritize"))</f>
        <v/>
      </c>
      <c r="G14">
        <f>SUMIFS(Sensitivity!$H$2:$H$81,Sensitivity!$A$2:$A$81,$A14,Sensitivity!$C$2:$C$81,$D$4)</f>
        <v/>
      </c>
      <c r="H14">
        <f>SUMIFS(Sensitivity!$I$2:$I$81,Sensitivity!$A$2:$A$81,$A14,Sensitivity!$C$2:$C$81,$D$4)</f>
        <v/>
      </c>
      <c r="I14">
        <f>SUMIFS(Sensitivity!$J$2:$J$81,Sensitivity!$A$2:$A$81,$A14,Sensitivity!$C$2:$C$81,$D$4)</f>
        <v/>
      </c>
      <c r="J14">
        <f>SUMIFS(Sensitivity!$K$2:$K$81,Sensitivity!$A$2:$A$81,$A14,Sensitivity!$C$2:$C$81,$D$4)</f>
        <v/>
      </c>
      <c r="K14">
        <f>MAX(ABS($G14-H14),ABS($G14-I14),ABS($G14-J14))</f>
        <v/>
      </c>
    </row>
    <row r="16">
      <c r="A16" s="12" t="inlineStr">
        <is>
          <t>Reading this sheet: a segment whose rank barely moves across the four profile columns is ranked by the data. One that swings two or more places is ranked by the weights, and the recommendation for it should be argued on its own merits rather than on the score.</t>
        </is>
      </c>
    </row>
    <row r="18">
      <c r="A18" s="7" t="inlineStr">
        <is>
          <t>Illustrative dataset constructed to be directionally consistent with publicly reported industry estimates. Figures are for methodology demonstration and are not market research.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8" customWidth="1" min="1" max="1"/>
    <col width="28" customWidth="1" min="2" max="2"/>
    <col width="22" customWidth="1" min="3" max="3"/>
    <col width="22" customWidth="1" min="4" max="4"/>
    <col width="22" customWidth="1" min="5" max="5"/>
    <col width="22" customWidth="1" min="6" max="6"/>
    <col width="22" customWidth="1" min="7" max="7"/>
  </cols>
  <sheetData>
    <row r="1">
      <c r="A1" s="8" t="inlineStr">
        <is>
          <t>Opportunity scoring model - assumptions and inputs</t>
        </is>
      </c>
    </row>
    <row r="2">
      <c r="A2" s="7" t="inlineStr">
        <is>
          <t>Illustrative dataset constructed to be directionally consistent with publicly reported industry estimates. Figures are for methodology demonstration and are not market research.</t>
        </is>
      </c>
    </row>
    <row r="4">
      <c r="A4" s="9" t="inlineStr">
        <is>
          <t>Weights (yellow cells are inputs - edit these and every sheet recalculates)</t>
        </is>
      </c>
    </row>
    <row r="6">
      <c r="A6" s="1" t="inlineStr">
        <is>
          <t>Factor</t>
        </is>
      </c>
      <c r="B6" s="1" t="inlineStr">
        <is>
          <t>Direction</t>
        </is>
      </c>
      <c r="C6" s="1" t="inlineStr">
        <is>
          <t>Base (house view)</t>
        </is>
      </c>
      <c r="D6" s="1" t="inlineStr">
        <is>
          <t>Growth-weighted</t>
        </is>
      </c>
      <c r="E6" s="1" t="inlineStr">
        <is>
          <t>Feasibility-weighted</t>
        </is>
      </c>
      <c r="F6" s="1" t="inlineStr">
        <is>
          <t>Fit-weighted</t>
        </is>
      </c>
    </row>
    <row r="7">
      <c r="A7" s="11" t="inlineStr">
        <is>
          <t>Serviceable market size</t>
        </is>
      </c>
      <c r="B7" s="11" t="inlineStr">
        <is>
          <t>Higher is better</t>
        </is>
      </c>
      <c r="C7" s="13" t="n">
        <v>0.2</v>
      </c>
      <c r="D7" s="13" t="n">
        <v>0.2</v>
      </c>
      <c r="E7" s="13" t="n">
        <v>0.1</v>
      </c>
      <c r="F7" s="13" t="n">
        <v>0.1</v>
      </c>
    </row>
    <row r="8">
      <c r="A8" s="11" t="inlineStr">
        <is>
          <t>CAGR</t>
        </is>
      </c>
      <c r="B8" s="11" t="inlineStr">
        <is>
          <t>Higher is better</t>
        </is>
      </c>
      <c r="C8" s="13" t="n">
        <v>0.2</v>
      </c>
      <c r="D8" s="13" t="n">
        <v>0.35</v>
      </c>
      <c r="E8" s="13" t="n">
        <v>0.1</v>
      </c>
      <c r="F8" s="13" t="n">
        <v>0.1</v>
      </c>
    </row>
    <row r="9">
      <c r="A9" s="11" t="inlineStr">
        <is>
          <t>Design-services addressability</t>
        </is>
      </c>
      <c r="B9" s="11" t="inlineStr">
        <is>
          <t>Higher is better</t>
        </is>
      </c>
      <c r="C9" s="13" t="n">
        <v>0.15</v>
      </c>
      <c r="D9" s="13" t="n">
        <v>0.1</v>
      </c>
      <c r="E9" s="13" t="n">
        <v>0.15</v>
      </c>
      <c r="F9" s="13" t="n">
        <v>0.2</v>
      </c>
    </row>
    <row r="10">
      <c r="A10" s="11" t="inlineStr">
        <is>
          <t>Strategic fit</t>
        </is>
      </c>
      <c r="B10" s="11" t="inlineStr">
        <is>
          <t>Higher is better</t>
        </is>
      </c>
      <c r="C10" s="13" t="n">
        <v>0.15</v>
      </c>
      <c r="D10" s="13" t="n">
        <v>0.1</v>
      </c>
      <c r="E10" s="13" t="n">
        <v>0.1</v>
      </c>
      <c r="F10" s="13" t="n">
        <v>0.35</v>
      </c>
    </row>
    <row r="11">
      <c r="A11" s="11" t="inlineStr">
        <is>
          <t>Customer demand</t>
        </is>
      </c>
      <c r="B11" s="11" t="inlineStr">
        <is>
          <t>Higher is better</t>
        </is>
      </c>
      <c r="C11" s="13" t="n">
        <v>0.1</v>
      </c>
      <c r="D11" s="13" t="n">
        <v>0.1</v>
      </c>
      <c r="E11" s="13" t="n">
        <v>0.1</v>
      </c>
      <c r="F11" s="13" t="n">
        <v>0.1</v>
      </c>
    </row>
    <row r="12">
      <c r="A12" s="11" t="inlineStr">
        <is>
          <t>Competitive intensity</t>
        </is>
      </c>
      <c r="B12" s="11" t="inlineStr">
        <is>
          <t>Inverted (crowded is worse)</t>
        </is>
      </c>
      <c r="C12" s="13" t="n">
        <v>0.1</v>
      </c>
      <c r="D12" s="13" t="n">
        <v>0.05</v>
      </c>
      <c r="E12" s="13" t="n">
        <v>0.15</v>
      </c>
      <c r="F12" s="13" t="n">
        <v>0.05</v>
      </c>
    </row>
    <row r="13">
      <c r="A13" s="11" t="inlineStr">
        <is>
          <t>Entry feasibility</t>
        </is>
      </c>
      <c r="B13" s="11" t="inlineStr">
        <is>
          <t>Higher is better</t>
        </is>
      </c>
      <c r="C13" s="13" t="n">
        <v>0.1</v>
      </c>
      <c r="D13" s="13" t="n">
        <v>0.1</v>
      </c>
      <c r="E13" s="13" t="n">
        <v>0.3</v>
      </c>
      <c r="F13" s="13" t="n">
        <v>0.1</v>
      </c>
    </row>
    <row r="14">
      <c r="A14" s="9" t="inlineStr">
        <is>
          <t>Total</t>
        </is>
      </c>
      <c r="C14" s="14">
        <f>SUM(C7:C13)</f>
        <v/>
      </c>
      <c r="D14" s="14">
        <f>SUM(D7:D13)</f>
        <v/>
      </c>
      <c r="E14" s="14">
        <f>SUM(E7:E13)</f>
        <v/>
      </c>
      <c r="F14" s="14">
        <f>SUM(F7:F13)</f>
        <v/>
      </c>
      <c r="G14" s="9">
        <f>IF(SUMPRODUCT(--(ROUND(C14:F14,6)&lt;&gt;1))=0,"All profiles sum to 100%","CHECK: a profile no longer sums to 100%")</f>
        <v/>
      </c>
    </row>
    <row r="16">
      <c r="A16" s="9" t="inlineStr">
        <is>
          <t>Recommendation bands and window</t>
        </is>
      </c>
    </row>
    <row r="17">
      <c r="A17" s="11" t="inlineStr">
        <is>
          <t>Prioritize if forward mean score is at least</t>
        </is>
      </c>
      <c r="C17" s="15" t="n">
        <v>60</v>
      </c>
    </row>
    <row r="18">
      <c r="A18" s="11" t="inlineStr">
        <is>
          <t>Selective if forward mean score is at least</t>
        </is>
      </c>
      <c r="C18" s="15" t="n">
        <v>45</v>
      </c>
    </row>
    <row r="19">
      <c r="A19" s="11" t="inlineStr">
        <is>
          <t>Forward window - first year</t>
        </is>
      </c>
      <c r="C19" s="16" t="n">
        <v>2026</v>
      </c>
    </row>
    <row r="20">
      <c r="A20" s="11" t="inlineStr">
        <is>
          <t>Forward window - last year</t>
        </is>
      </c>
      <c r="C20" s="16" t="n">
        <v>2030</v>
      </c>
    </row>
    <row r="23">
      <c r="A23" s="9" t="inlineStr">
        <is>
          <t>Method</t>
        </is>
      </c>
    </row>
    <row r="24">
      <c r="A24" s="12" t="inlineStr">
        <is>
          <t>1. Serviceable market = TAM x design-services addressable share. The model scores on serviceable market, never on raw TAM.</t>
        </is>
      </c>
    </row>
    <row r="25">
      <c r="A25" s="12" t="inlineStr">
        <is>
          <t>2. Every factor is min-max normalized to 0-100 across the eight segments within each year, so a score states relative standing in that year.</t>
        </is>
      </c>
    </row>
    <row r="26">
      <c r="A26" s="12" t="inlineStr">
        <is>
          <t>3. Competitive intensity is inverted after normalization, so a high contribution means an uncrowded segment.</t>
        </is>
      </c>
    </row>
    <row r="27">
      <c r="A27" s="12" t="inlineStr">
        <is>
          <t>4. Score = sum of normalized factor x weight. Weights live only in the yellow block above and in config/weights.yaml.</t>
        </is>
      </c>
    </row>
    <row r="28">
      <c r="A28" s="12" t="inlineStr">
        <is>
          <t>5. The recommendation band is applied to the mean score over the forward window, not to a single year.</t>
        </is>
      </c>
    </row>
    <row r="29">
      <c r="A29" s="12" t="inlineStr">
        <is>
          <t>6. The grid sheets carry 80 segment-year rows (8 segments x 10 years, 2021-2030).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Semiconductor market opportunity pipeline</dc:creator>
  <dcterms:created xmlns:dcterms="http://purl.org/dc/terms/" xmlns:xsi="http://www.w3.org/2001/XMLSchema-instance" xsi:type="dcterms:W3CDTF">1980-01-01T00:00:00Z</dcterms:created>
  <dcterms:modified xmlns:dcterms="http://purl.org/dc/terms/" xmlns:xsi="http://www.w3.org/2001/XMLSchema-instance" xsi:type="dcterms:W3CDTF">2026-09-08T15:35:23Z</dcterms:modified>
  <cp:lastModifiedBy>Semiconductor market opportunity pipeline</cp:lastModifiedBy>
</cp:coreProperties>
</file>